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Renovaciones" sheetId="3" state="visible" r:id="rId3"/>
    <sheet xmlns:r="http://schemas.openxmlformats.org/officeDocument/2006/relationships" name="Negocio" sheetId="4" state="visible" r:id="rId4"/>
    <sheet xmlns:r="http://schemas.openxmlformats.org/officeDocument/2006/relationships" name="Agenda" sheetId="5" state="visible" r:id="rId5"/>
    <sheet xmlns:r="http://schemas.openxmlformats.org/officeDocument/2006/relationships" name="Parámetros" sheetId="6" state="visible" r:id="rId6"/>
    <sheet xmlns:r="http://schemas.openxmlformats.org/officeDocument/2006/relationships" name="Listas" sheetId="7" state="hidden" r:id="rId7"/>
  </sheets>
  <definedNames>
    <definedName name="AvisoCredito">'Parámetros'!$B$6</definedName>
    <definedName name="MesesPronto">'Parámetros'!$B$9</definedName>
    <definedName name="RenovarContado">'Parámetros'!$B$12</definedName>
    <definedName name="City">Listas!$O$2:$O$7</definedName>
    <definedName name="WR_V">Listas!$P$2:$P$5</definedName>
    <definedName name="HR_V">Listas!$Q$2:$Q$5</definedName>
    <definedName name="ZR_V">Listas!$R$2:$R$5</definedName>
    <definedName name="CR_V">Listas!$S$2:$S$5</definedName>
    <definedName name="Civic">Listas!$T$2:$T$5</definedName>
    <definedName name="Accord">Listas!$U$2:$U$4</definedName>
    <definedName name="Pilot">Listas!$V$2:$V$4</definedName>
    <definedName name="BR_V">Listas!$W$2:$W$4</definedName>
    <definedName name="ListaVehiculos">Listas!$A$2:$A$10</definedName>
    <definedName name="ListaForma">Listas!$C$2:$C$3</definedName>
    <definedName name="ListaProducto">Listas!$E$2:$E$5</definedName>
    <definedName name="ListaPlazo">Listas!$G$2:$G$6</definedName>
    <definedName name="ListaColor">Listas!$I$2:$I$15</definedName>
    <definedName name="ListaSiNo">Listas!$K$2:$K$3</definedName>
    <definedName name="ListaInteres">Listas!$M$2:$M$5</definedName>
    <definedName name="NombresClientes">OFFSET(Listas!$A$20,0,0,MAX(1,COUNTIF(Listas!$A$20:$A$69,"?*")),1)</definedName>
    <definedName name="ClienteVista">Listas!$C$20</definedName>
    <definedName name="VehiculoOferta">Negocio!$C$5</definedName>
    <definedName name="_xlnm.Print_Area" localSheetId="0">'Inicio'!$A$1:$L$38</definedName>
    <definedName name="_xlnm.Print_Titles" localSheetId="1">'Clientes'!$1:$4</definedName>
    <definedName name="_xlnm.Print_Area" localSheetId="1">'Clientes'!$A$1:$N$54</definedName>
    <definedName name="_xlnm.Print_Area" localSheetId="2">'Renovaciones'!$A$1:$J$34</definedName>
    <definedName name="_xlnm.Print_Area" localSheetId="3">'Negocio'!$A$1:$R$31</definedName>
    <definedName name="_xlnm.Print_Area" localSheetId="4">'Agenda'!$A$1:$H$34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DD-MM-YYYY"/>
    <numFmt numFmtId="165" formatCode="0&quot; meses&quot;"/>
    <numFmt numFmtId="166" formatCode="&quot;$&quot;#,##0"/>
    <numFmt numFmtId="167" formatCode="0.00000"/>
    <numFmt numFmtId="168" formatCode="DD-MM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F3E6C8"/>
      <sz val="12"/>
    </font>
    <font>
      <name val="Calibri"/>
      <color rgb="001C1C1C"/>
      <sz val="14"/>
    </font>
    <font>
      <name val="Calibri"/>
      <b val="1"/>
      <color rgb="001C1C1C"/>
      <sz val="28"/>
    </font>
    <font>
      <name val="Calibri"/>
      <b val="1"/>
      <color rgb="00FFFFFF"/>
      <sz val="11"/>
    </font>
    <font>
      <name val="Calibri"/>
      <color rgb="005E6A75"/>
      <sz val="11"/>
    </font>
    <font>
      <name val="Calibri"/>
      <color rgb="001C1C1C"/>
      <sz val="12"/>
    </font>
    <font>
      <name val="Calibri"/>
      <color rgb="005E6A75"/>
      <sz val="12"/>
    </font>
    <font>
      <name val="Calibri"/>
      <b val="1"/>
      <color rgb="005E6A75"/>
      <sz val="10"/>
    </font>
    <font>
      <name val="Calibri"/>
      <b val="1"/>
      <color rgb="001C1C1C"/>
      <sz val="22"/>
    </font>
    <font>
      <name val="Calibri"/>
      <b val="1"/>
      <color rgb="00C8102E"/>
      <sz val="26"/>
    </font>
    <font>
      <name val="Calibri"/>
      <b val="1"/>
      <color rgb="001F4E79"/>
      <sz val="26"/>
    </font>
    <font>
      <name val="Calibri"/>
      <b val="1"/>
      <color rgb="008A6A2F"/>
      <sz val="26"/>
    </font>
    <font>
      <name val="Calibri"/>
      <b val="1"/>
      <color rgb="001C1C1C"/>
      <sz val="18"/>
    </font>
    <font>
      <name val="Calibri"/>
      <b val="1"/>
      <color rgb="001C1C1C"/>
      <sz val="14"/>
    </font>
    <font>
      <name val="Calibri"/>
      <b val="1"/>
      <color rgb="00FFFFFF"/>
      <sz val="10"/>
    </font>
    <font>
      <name val="Calibri"/>
      <b val="1"/>
      <color rgb="00C8102E"/>
      <sz val="12"/>
    </font>
    <font>
      <name val="Calibri"/>
      <b val="1"/>
      <color rgb="001C1C1C"/>
      <sz val="12"/>
    </font>
    <font>
      <name val="Calibri"/>
      <b val="1"/>
      <color rgb="00FFFFFF"/>
      <sz val="12"/>
    </font>
    <font>
      <name val="Calibri"/>
      <color rgb="001C1C1C"/>
      <sz val="11"/>
    </font>
    <font>
      <name val="Calibri"/>
      <b val="1"/>
      <color rgb="001F4E79"/>
      <sz val="13"/>
    </font>
    <font>
      <name val="Calibri"/>
      <b val="1"/>
      <color rgb="00C8102E"/>
      <sz val="13"/>
    </font>
    <font>
      <name val="Calibri"/>
      <b val="1"/>
      <color rgb="001C1C1C"/>
      <sz val="16"/>
    </font>
    <font>
      <name val="Calibri"/>
      <b val="1"/>
      <color rgb="001F4E79"/>
      <sz val="22"/>
    </font>
    <font>
      <name val="Calibri"/>
      <b val="1"/>
      <color rgb="00C8102E"/>
      <sz val="28"/>
    </font>
    <font>
      <name val="Calibri"/>
      <b val="1"/>
      <color rgb="008E1024"/>
      <sz val="16"/>
    </font>
    <font>
      <name val="Calibri"/>
      <b val="1"/>
      <color rgb="008A5A00"/>
      <sz val="14"/>
    </font>
    <font>
      <name val="Calibri"/>
      <b val="1"/>
      <color rgb="001C1C1C"/>
      <sz val="26"/>
    </font>
    <font>
      <name val="Calibri"/>
      <b val="1"/>
      <color rgb="001B7F4E"/>
      <sz val="26"/>
    </font>
    <font>
      <name val="Calibri"/>
      <b val="1"/>
      <color rgb="008A5A00"/>
      <sz val="26"/>
    </font>
    <font>
      <name val="Calibri"/>
      <b val="1"/>
      <color rgb="008A5A00"/>
      <sz val="10"/>
    </font>
    <font>
      <name val="Calibri"/>
      <b val="1"/>
      <color rgb="001B7F4E"/>
      <sz val="10"/>
    </font>
    <font>
      <name val="Calibri"/>
      <b val="1"/>
      <color rgb="001F4E79"/>
      <sz val="10"/>
    </font>
  </fonts>
  <fills count="1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C8102E"/>
      </patternFill>
    </fill>
    <fill>
      <patternFill patternType="solid">
        <fgColor rgb="00FFF4CC"/>
      </patternFill>
    </fill>
    <fill>
      <patternFill patternType="solid">
        <fgColor rgb="001F4E79"/>
      </patternFill>
    </fill>
    <fill>
      <patternFill patternType="solid">
        <fgColor rgb="008E1024"/>
      </patternFill>
    </fill>
    <fill>
      <patternFill patternType="solid">
        <fgColor rgb="003E4C3A"/>
      </patternFill>
    </fill>
    <fill>
      <patternFill patternType="solid">
        <fgColor rgb="005C5346"/>
      </patternFill>
    </fill>
    <fill>
      <patternFill patternType="solid">
        <fgColor rgb="001B7F4E"/>
      </patternFill>
    </fill>
    <fill>
      <patternFill patternType="solid">
        <fgColor rgb="00FFFFFF"/>
      </patternFill>
    </fill>
    <fill>
      <patternFill patternType="solid">
        <fgColor rgb="00F7F4EF"/>
      </patternFill>
    </fill>
    <fill>
      <patternFill patternType="solid">
        <fgColor rgb="00FFFCF3"/>
      </patternFill>
    </fill>
    <fill>
      <patternFill patternType="solid">
        <fgColor rgb="00FFF1D6"/>
      </patternFill>
    </fill>
    <fill>
      <patternFill patternType="solid">
        <fgColor rgb="008A6A2F"/>
      </patternFill>
    </fill>
    <fill>
      <patternFill patternType="solid">
        <fgColor rgb="00E5F4EC"/>
      </patternFill>
    </fill>
    <fill>
      <patternFill patternType="solid">
        <fgColor rgb="00E7F0F8"/>
      </patternFill>
    </fill>
  </fills>
  <borders count="19">
    <border>
      <left/>
      <right/>
      <top/>
      <bottom/>
      <diagonal/>
    </border>
    <border>
      <left style="medium">
        <color rgb="00C4A15A"/>
      </left>
      <right style="medium">
        <color rgb="00C4A15A"/>
      </right>
      <top style="medium">
        <color rgb="00C4A15A"/>
      </top>
      <bottom style="medium">
        <color rgb="00C4A15A"/>
      </bottom>
    </border>
    <border>
      <left style="thin">
        <color rgb="00E6DFD4"/>
      </left>
      <right style="thin">
        <color rgb="00E6DFD4"/>
      </right>
      <top style="thin">
        <color rgb="00E6DFD4"/>
      </top>
      <bottom style="thin">
        <color rgb="00E6DFD4"/>
      </bottom>
    </border>
    <border>
      <left/>
      <right/>
      <top style="medium">
        <color rgb="00C4A15A"/>
      </top>
      <bottom/>
      <diagonal/>
    </border>
    <border>
      <left/>
      <right style="medium">
        <color rgb="00C4A15A"/>
      </right>
      <top style="medium">
        <color rgb="00C4A15A"/>
      </top>
      <bottom/>
      <diagonal/>
    </border>
    <border>
      <left/>
      <right/>
      <top style="medium">
        <color rgb="00C4A15A"/>
      </top>
      <bottom style="medium">
        <color rgb="00C4A15A"/>
      </bottom>
      <diagonal/>
    </border>
    <border>
      <left/>
      <right style="medium">
        <color rgb="00C4A15A"/>
      </right>
      <top style="medium">
        <color rgb="00C4A15A"/>
      </top>
      <bottom style="medium">
        <color rgb="00C4A15A"/>
      </bottom>
      <diagonal/>
    </border>
    <border>
      <left style="thin">
        <color rgb="00E6DFD4"/>
      </left>
      <right style="thin">
        <color rgb="00E6DFD4"/>
      </right>
      <top style="medium">
        <color rgb="00C8102E"/>
      </top>
      <bottom style="thin">
        <color rgb="00E6DFD4"/>
      </bottom>
    </border>
    <border>
      <left style="thin">
        <color rgb="00E6DFD4"/>
      </left>
      <right style="thin">
        <color rgb="00E6DFD4"/>
      </right>
      <top style="medium">
        <color rgb="001F4E79"/>
      </top>
      <bottom style="thin">
        <color rgb="00E6DFD4"/>
      </bottom>
    </border>
    <border>
      <left style="thin">
        <color rgb="00E6DFD4"/>
      </left>
      <right style="thin">
        <color rgb="00E6DFD4"/>
      </right>
      <top style="medium">
        <color rgb="008A6A2F"/>
      </top>
      <bottom style="thin">
        <color rgb="00E6DFD4"/>
      </bottom>
    </border>
    <border>
      <left style="thin">
        <color rgb="00E6DFD4"/>
      </left>
      <right style="thin">
        <color rgb="00E6DFD4"/>
      </right>
      <top style="medium">
        <color rgb="00C4A15A"/>
      </top>
      <bottom style="thin">
        <color rgb="00E6DFD4"/>
      </bottom>
    </border>
    <border>
      <left style="thin">
        <color rgb="00E6DFD4"/>
      </left>
      <right style="thin">
        <color rgb="00E6DFD4"/>
      </right>
      <top style="medium">
        <color rgb="001C1C1C"/>
      </top>
      <bottom style="thin">
        <color rgb="00E6DFD4"/>
      </bottom>
    </border>
    <border>
      <left style="thin">
        <color rgb="00E6DFD4"/>
      </left>
      <right style="thin">
        <color rgb="00E6DFD4"/>
      </right>
      <top style="medium">
        <color rgb="00E6DFD4"/>
      </top>
      <bottom style="thin">
        <color rgb="00E6DFD4"/>
      </bottom>
    </border>
    <border>
      <left/>
      <right/>
      <top style="medium">
        <color rgb="00E6DFD4"/>
      </top>
      <bottom/>
      <diagonal/>
    </border>
    <border>
      <left/>
      <right style="thin">
        <color rgb="00E6DFD4"/>
      </right>
      <top style="medium">
        <color rgb="00E6DFD4"/>
      </top>
      <bottom/>
      <diagonal/>
    </border>
    <border>
      <left/>
      <right style="thin">
        <color rgb="00E6DFD4"/>
      </right>
      <top style="medium">
        <color rgb="00E6DFD4"/>
      </top>
      <bottom style="thin">
        <color rgb="00E6DFD4"/>
      </bottom>
      <diagonal/>
    </border>
    <border>
      <left style="thin">
        <color rgb="00E6DFD4"/>
      </left>
      <right style="thin">
        <color rgb="00E6DFD4"/>
      </right>
      <top style="medium">
        <color rgb="008E1024"/>
      </top>
      <bottom style="thin">
        <color rgb="00E6DFD4"/>
      </bottom>
    </border>
    <border>
      <left style="thin">
        <color rgb="00E6DFD4"/>
      </left>
      <right style="thin">
        <color rgb="00E6DFD4"/>
      </right>
      <top style="medium">
        <color rgb="008A5A00"/>
      </top>
      <bottom style="thin">
        <color rgb="00E6DFD4"/>
      </bottom>
    </border>
    <border>
      <left style="thin">
        <color rgb="00E6DFD4"/>
      </left>
      <right style="thin">
        <color rgb="00E6DFD4"/>
      </right>
      <top style="medium">
        <color rgb="001B7F4E"/>
      </top>
      <bottom style="thin">
        <color rgb="00E6DFD4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0" borderId="0" applyAlignment="1" pivotButton="0" quotePrefix="0" xfId="0">
      <alignment horizontal="left" vertical="center"/>
    </xf>
    <xf numFmtId="0" fontId="23" fillId="4" borderId="1" applyAlignment="1" applyProtection="1" pivotButton="0" quotePrefix="0" xfId="0">
      <alignment horizontal="left" vertical="center" inden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6" fillId="0" borderId="0" pivotButton="0" quotePrefix="0" xfId="0"/>
    <xf numFmtId="0" fontId="9" fillId="10" borderId="11" applyAlignment="1" pivotButton="0" quotePrefix="0" xfId="0">
      <alignment horizontal="left" vertical="center" indent="1"/>
    </xf>
    <xf numFmtId="0" fontId="0" fillId="10" borderId="11" pivotButton="0" quotePrefix="0" xfId="0"/>
    <xf numFmtId="0" fontId="9" fillId="10" borderId="8" applyAlignment="1" pivotButton="0" quotePrefix="0" xfId="0">
      <alignment horizontal="left" vertical="center" indent="1"/>
    </xf>
    <xf numFmtId="0" fontId="0" fillId="10" borderId="8" pivotButton="0" quotePrefix="0" xfId="0"/>
    <xf numFmtId="0" fontId="9" fillId="10" borderId="7" applyAlignment="1" pivotButton="0" quotePrefix="0" xfId="0">
      <alignment horizontal="left" vertical="center" indent="1"/>
    </xf>
    <xf numFmtId="0" fontId="0" fillId="10" borderId="7" pivotButton="0" quotePrefix="0" xfId="0"/>
    <xf numFmtId="0" fontId="9" fillId="10" borderId="16" applyAlignment="1" pivotButton="0" quotePrefix="0" xfId="0">
      <alignment horizontal="left" vertical="center" indent="1"/>
    </xf>
    <xf numFmtId="0" fontId="0" fillId="10" borderId="16" pivotButton="0" quotePrefix="0" xfId="0"/>
    <xf numFmtId="0" fontId="9" fillId="10" borderId="17" applyAlignment="1" pivotButton="0" quotePrefix="0" xfId="0">
      <alignment horizontal="left" vertical="center" indent="1"/>
    </xf>
    <xf numFmtId="0" fontId="0" fillId="10" borderId="17" pivotButton="0" quotePrefix="0" xfId="0"/>
    <xf numFmtId="0" fontId="10" fillId="10" borderId="12" applyAlignment="1" pivotButton="0" quotePrefix="0" xfId="0">
      <alignment horizontal="left" vertical="center" wrapText="1" indent="1"/>
    </xf>
    <xf numFmtId="0" fontId="0" fillId="10" borderId="12" pivotButton="0" quotePrefix="0" xfId="0"/>
    <xf numFmtId="49" fontId="24" fillId="10" borderId="12" applyAlignment="1" pivotButton="0" quotePrefix="0" xfId="0">
      <alignment horizontal="left" vertical="center" wrapText="1" indent="1"/>
    </xf>
    <xf numFmtId="166" fontId="25" fillId="10" borderId="12" applyAlignment="1" pivotButton="0" quotePrefix="0" xfId="0">
      <alignment horizontal="left" vertical="center" wrapText="1" indent="1"/>
    </xf>
    <xf numFmtId="0" fontId="26" fillId="10" borderId="12" applyAlignment="1" pivotButton="0" quotePrefix="0" xfId="0">
      <alignment horizontal="left" vertical="center" wrapText="1" indent="1"/>
    </xf>
    <xf numFmtId="0" fontId="27" fillId="10" borderId="12" applyAlignment="1" pivotButton="0" quotePrefix="0" xfId="0">
      <alignment horizontal="left" vertical="center" wrapText="1" indent="1"/>
    </xf>
    <xf numFmtId="0" fontId="6" fillId="10" borderId="12" applyAlignment="1" pivotButton="0" quotePrefix="0" xfId="0">
      <alignment horizontal="left" vertical="center" indent="1"/>
    </xf>
    <xf numFmtId="0" fontId="0" fillId="0" borderId="15" pivotButton="0" quotePrefix="0" xfId="0"/>
    <xf numFmtId="0" fontId="9" fillId="10" borderId="11" applyAlignment="1" pivotButton="0" quotePrefix="0" xfId="0">
      <alignment horizontal="center" vertical="center"/>
    </xf>
    <xf numFmtId="0" fontId="9" fillId="10" borderId="18" applyAlignment="1" pivotButton="0" quotePrefix="0" xfId="0">
      <alignment horizontal="center" vertical="center"/>
    </xf>
    <xf numFmtId="0" fontId="0" fillId="10" borderId="18" pivotButton="0" quotePrefix="0" xfId="0"/>
    <xf numFmtId="0" fontId="9" fillId="10" borderId="8" applyAlignment="1" pivotButton="0" quotePrefix="0" xfId="0">
      <alignment horizontal="center" vertical="center"/>
    </xf>
    <xf numFmtId="0" fontId="9" fillId="10" borderId="7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0" fontId="0" fillId="10" borderId="9" pivotButton="0" quotePrefix="0" xfId="0"/>
    <xf numFmtId="0" fontId="9" fillId="10" borderId="17" applyAlignment="1" pivotButton="0" quotePrefix="0" xfId="0">
      <alignment horizontal="center" vertical="center"/>
    </xf>
    <xf numFmtId="1" fontId="28" fillId="10" borderId="11" applyAlignment="1" pivotButton="0" quotePrefix="0" xfId="0">
      <alignment horizontal="center" vertical="center"/>
    </xf>
    <xf numFmtId="1" fontId="29" fillId="10" borderId="18" applyAlignment="1" pivotButton="0" quotePrefix="0" xfId="0">
      <alignment horizontal="center" vertical="center"/>
    </xf>
    <xf numFmtId="1" fontId="12" fillId="10" borderId="8" applyAlignment="1" pivotButton="0" quotePrefix="0" xfId="0">
      <alignment horizontal="center" vertical="center"/>
    </xf>
    <xf numFmtId="166" fontId="11" fillId="10" borderId="7" applyAlignment="1" pivotButton="0" quotePrefix="0" xfId="0">
      <alignment horizontal="center" vertical="center"/>
    </xf>
    <xf numFmtId="166" fontId="13" fillId="10" borderId="9" applyAlignment="1" pivotButton="0" quotePrefix="0" xfId="0">
      <alignment horizontal="center" vertical="center"/>
    </xf>
    <xf numFmtId="1" fontId="30" fillId="10" borderId="17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0" pivotButton="0" quotePrefix="0" xfId="0"/>
    <xf numFmtId="0" fontId="31" fillId="13" borderId="0" applyAlignment="1" pivotButton="0" quotePrefix="0" xfId="0">
      <alignment horizontal="center" vertical="center"/>
    </xf>
    <xf numFmtId="0" fontId="31" fillId="13" borderId="0" pivotButton="0" quotePrefix="0" xfId="0"/>
    <xf numFmtId="0" fontId="16" fillId="2" borderId="0" applyAlignment="1" pivotButton="0" quotePrefix="0" xfId="0">
      <alignment horizontal="center" vertical="center"/>
    </xf>
    <xf numFmtId="0" fontId="16" fillId="2" borderId="0" pivotButton="0" quotePrefix="0" xfId="0"/>
    <xf numFmtId="0" fontId="16" fillId="14" borderId="0" applyAlignment="1" pivotButton="0" quotePrefix="0" xfId="0">
      <alignment horizontal="center" vertical="center"/>
    </xf>
    <xf numFmtId="0" fontId="16" fillId="14" borderId="0" pivotButton="0" quotePrefix="0" xfId="0"/>
    <xf numFmtId="0" fontId="32" fillId="15" borderId="0" applyAlignment="1" pivotButton="0" quotePrefix="0" xfId="0">
      <alignment horizontal="center" vertical="center"/>
    </xf>
    <xf numFmtId="0" fontId="32" fillId="15" borderId="0" pivotButton="0" quotePrefix="0" xfId="0"/>
    <xf numFmtId="0" fontId="33" fillId="16" borderId="0" applyAlignment="1" pivotButton="0" quotePrefix="0" xfId="0">
      <alignment horizontal="center" vertical="center"/>
    </xf>
    <xf numFmtId="0" fontId="33" fillId="16" borderId="0" pivotButton="0" quotePrefix="0" xfId="0"/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 vertical="center"/>
    </xf>
    <xf numFmtId="166" fontId="22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164" fontId="7" fillId="0" borderId="2" applyAlignment="1" applyProtection="1" pivotButton="0" quotePrefix="0" xfId="0">
      <alignment horizontal="left" vertical="center"/>
      <protection locked="0" hidden="0"/>
    </xf>
    <xf numFmtId="49" fontId="7" fillId="0" borderId="2" applyAlignment="1" applyProtection="1" pivotButton="0" quotePrefix="0" xfId="0">
      <alignment horizontal="left" vertical="center" indent="1"/>
      <protection locked="0" hidden="0"/>
    </xf>
    <xf numFmtId="49" fontId="7" fillId="0" borderId="2" applyAlignment="1" applyProtection="1" pivotButton="0" quotePrefix="0" xfId="0">
      <alignment horizontal="left" vertical="center"/>
      <protection locked="0" hidden="0"/>
    </xf>
    <xf numFmtId="49" fontId="7" fillId="0" borderId="2" applyAlignment="1" applyProtection="1" pivotButton="0" quotePrefix="0" xfId="0">
      <alignment horizontal="center" vertical="center"/>
      <protection locked="0" hidden="0"/>
    </xf>
    <xf numFmtId="165" fontId="7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applyProtection="1" pivotButton="0" quotePrefix="0" xfId="0">
      <alignment horizontal="left" vertical="center"/>
      <protection locked="0" hidden="0"/>
    </xf>
    <xf numFmtId="49" fontId="8" fillId="0" borderId="2" applyAlignment="1" pivotButton="0" quotePrefix="0" xfId="0">
      <alignment horizontal="center" vertical="center"/>
    </xf>
    <xf numFmtId="166" fontId="8" fillId="0" borderId="2" applyAlignment="1" pivotButton="0" quotePrefix="0" xfId="0">
      <alignment horizontal="center" vertical="center"/>
    </xf>
    <xf numFmtId="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" fontId="8" fillId="0" borderId="2" applyAlignment="1" pivotButton="0" quotePrefix="0" xfId="0">
      <alignment horizontal="center" vertical="center"/>
    </xf>
    <xf numFmtId="167" fontId="8" fillId="0" borderId="2" applyAlignment="1" pivotButton="0" quotePrefix="0" xfId="0">
      <alignment horizontal="center" vertical="center"/>
    </xf>
    <xf numFmtId="2" fontId="8" fillId="0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left" vertical="center"/>
    </xf>
    <xf numFmtId="0" fontId="10" fillId="4" borderId="1" applyAlignment="1" applyProtection="1" pivotButton="0" quotePrefix="0" xfId="0">
      <alignment horizontal="center" vertical="center"/>
      <protection locked="0" hidden="0"/>
    </xf>
    <xf numFmtId="165" fontId="12" fillId="10" borderId="8" applyAlignment="1" pivotButton="0" quotePrefix="0" xfId="0">
      <alignment horizontal="center" vertical="center"/>
    </xf>
    <xf numFmtId="0" fontId="9" fillId="11" borderId="10" applyAlignment="1" pivotButton="0" quotePrefix="0" xfId="0">
      <alignment horizontal="center" vertical="center"/>
    </xf>
    <xf numFmtId="0" fontId="0" fillId="11" borderId="10" pivotButton="0" quotePrefix="0" xfId="0"/>
    <xf numFmtId="1" fontId="14" fillId="11" borderId="10" applyAlignment="1" pivotButton="0" quotePrefix="0" xfId="0">
      <alignment horizontal="center" vertical="center"/>
    </xf>
    <xf numFmtId="166" fontId="14" fillId="11" borderId="10" applyAlignment="1" pivotButton="0" quotePrefix="0" xfId="0">
      <alignment horizontal="center" vertical="center"/>
    </xf>
    <xf numFmtId="0" fontId="15" fillId="0" borderId="0" pivotButton="0" quotePrefix="0" xfId="0"/>
    <xf numFmtId="0" fontId="16" fillId="5" borderId="2" applyAlignment="1" pivotButton="0" quotePrefix="0" xfId="0">
      <alignment horizontal="center" vertical="center" wrapText="1"/>
    </xf>
    <xf numFmtId="166" fontId="17" fillId="0" borderId="2" applyAlignment="1" pivotButton="0" quotePrefix="0" xfId="0">
      <alignment horizontal="left" vertical="center"/>
    </xf>
    <xf numFmtId="166" fontId="7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 indent="1"/>
    </xf>
    <xf numFmtId="0" fontId="7" fillId="0" borderId="2" applyAlignment="1" pivotButton="0" quotePrefix="0" xfId="0">
      <alignment horizontal="center" vertical="center"/>
    </xf>
    <xf numFmtId="166" fontId="7" fillId="0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49" fontId="7" fillId="12" borderId="2" applyAlignment="1" applyProtection="1" pivotButton="0" quotePrefix="0" xfId="0">
      <alignment horizontal="left" vertical="center" indent="1"/>
      <protection locked="0" hidden="0"/>
    </xf>
    <xf numFmtId="164" fontId="7" fillId="12" borderId="2" applyAlignment="1" applyProtection="1" pivotButton="0" quotePrefix="0" xfId="0">
      <alignment horizontal="left" vertical="center" indent="1"/>
      <protection locked="0" hidden="0"/>
    </xf>
    <xf numFmtId="0" fontId="3" fillId="0" borderId="0" applyAlignment="1" pivotButton="0" quotePrefix="0" xfId="0">
      <alignment horizontal="left" vertical="center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5" fillId="2" borderId="0" pivotButton="0" quotePrefix="0" xfId="0"/>
    <xf numFmtId="0" fontId="5" fillId="5" borderId="0" pivotButton="0" quotePrefix="0" xfId="0"/>
  </cellXfs>
  <cellStyles count="1">
    <cellStyle name="Normal" xfId="0" builtinId="0" hidden="0"/>
  </cellStyles>
  <dxfs count="14">
    <dxf>
      <font>
        <name val="Calibri"/>
        <b val="1"/>
        <color rgb="00FFFFFF"/>
        <sz val="12"/>
      </font>
      <fill>
        <patternFill patternType="solid">
          <fgColor rgb="00C8102E"/>
        </patternFill>
      </fill>
    </dxf>
    <dxf>
      <font>
        <name val="Calibri"/>
        <b val="1"/>
        <color rgb="00FFFFFF"/>
        <sz val="12"/>
      </font>
      <fill>
        <patternFill patternType="solid">
          <fgColor rgb="001C1C1C"/>
        </patternFill>
      </fill>
    </dxf>
    <dxf>
      <font>
        <name val="Calibri"/>
        <b val="1"/>
        <color rgb="008A5A00"/>
        <sz val="12"/>
      </font>
      <fill>
        <patternFill patternType="solid">
          <fgColor rgb="00FFF1D6"/>
        </patternFill>
      </fill>
    </dxf>
    <dxf>
      <font>
        <name val="Calibri"/>
        <b val="1"/>
        <color rgb="00FFFFFF"/>
        <sz val="12"/>
      </font>
      <fill>
        <patternFill patternType="solid">
          <fgColor rgb="008A6A2F"/>
        </patternFill>
      </fill>
    </dxf>
    <dxf>
      <font>
        <name val="Calibri"/>
        <b val="1"/>
        <color rgb="008A5A00"/>
        <sz val="12"/>
      </font>
      <fill>
        <patternFill patternType="solid">
          <fgColor rgb="00FFF4CC"/>
        </patternFill>
      </fill>
    </dxf>
    <dxf>
      <font>
        <name val="Calibri"/>
        <b val="1"/>
        <color rgb="001F4E79"/>
        <sz val="12"/>
      </font>
      <fill>
        <patternFill patternType="solid">
          <fgColor rgb="00E7F0F8"/>
        </patternFill>
      </fill>
    </dxf>
    <dxf>
      <font>
        <name val="Calibri"/>
        <b val="1"/>
        <color rgb="001B7F4E"/>
        <sz val="12"/>
      </font>
      <fill>
        <patternFill patternType="solid">
          <fgColor rgb="00E5F4EC"/>
        </patternFill>
      </fill>
    </dxf>
    <dxf>
      <font>
        <name val="Calibri"/>
        <b val="1"/>
        <color rgb="001C1C1C"/>
        <sz val="12"/>
      </font>
      <fill>
        <patternFill patternType="solid">
          <fgColor rgb="00F6C445"/>
        </patternFill>
      </fill>
    </dxf>
    <dxf>
      <font>
        <name val="Calibri"/>
        <color rgb="001C1C1C"/>
        <sz val="12"/>
      </font>
      <fill>
        <patternFill patternType="solid">
          <fgColor rgb="00FFF4CC"/>
        </patternFill>
      </fill>
    </dxf>
    <dxf>
      <font>
        <name val="Calibri"/>
        <color rgb="00B7A98A"/>
        <sz val="12"/>
      </font>
      <fill>
        <patternFill patternType="solid">
          <fgColor rgb="00FFFCF3"/>
        </patternFill>
      </fill>
    </dxf>
    <dxf>
      <font>
        <name val="Calibri"/>
        <color rgb="005E6A75"/>
        <sz val="12"/>
      </font>
      <fill>
        <patternFill patternType="solid">
          <fgColor rgb="00F3F5F7"/>
        </patternFill>
      </fill>
    </dxf>
    <dxf>
      <font>
        <name val="Calibri"/>
        <color rgb="008E1024"/>
        <sz val="12"/>
      </font>
      <fill>
        <patternFill patternType="solid">
          <fgColor rgb="00F8E8E8"/>
        </patternFill>
      </fill>
    </dxf>
    <dxf>
      <font>
        <name val="Calibri"/>
        <b val="1"/>
        <color rgb="00C8102E"/>
        <sz val="12"/>
      </font>
      <fill>
        <patternFill patternType="solid">
          <fgColor rgb="00F8E0E0"/>
        </patternFill>
      </fill>
    </dxf>
    <dxf>
      <fill>
        <patternFill patternType="solid">
          <fgColor rgb="00F7F4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Cuota típica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'Negocio'!S15</f>
            </strRef>
          </tx>
          <spPr>
            <a:solidFill xmlns:a="http://schemas.openxmlformats.org/drawingml/2006/main">
              <a:srgbClr val="C8102E"/>
            </a:solidFill>
            <a:ln xmlns:a="http://schemas.openxmlformats.org/drawingml/2006/main">
              <a:prstDash val="solid"/>
            </a:ln>
          </spPr>
          <cat>
            <numRef>
              <f>'Negocio'!$J$16:$J$24</f>
            </numRef>
          </cat>
          <val>
            <numRef>
              <f>'Negocio'!$S$16:$S$24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lientes" displayName="tblClientes" ref="A4:AJ54" headerRowCount="1">
  <autoFilter ref="A4:AJ54"/>
  <tableColumns count="36">
    <tableColumn id="1" name="Fecha compra"/>
    <tableColumn id="2" name="Nombre"/>
    <tableColumn id="3" name="Teléfono"/>
    <tableColumn id="4" name="Vehículo"/>
    <tableColumn id="5" name="Versión"/>
    <tableColumn id="6" name="Forma de pago"/>
    <tableColumn id="7" name="Plazo meses"/>
    <tableColumn id="8" name="Valor cuota"/>
    <tableColumn id="9" name="Valor vehículo"/>
    <tableColumn id="10" name="Estado"/>
    <tableColumn id="11" name="Cuándo"/>
    <tableColumn id="12" name="Próximo contacto"/>
    <tableColumn id="13" name="Contactado"/>
    <tableColumn id="14" name="Nota"/>
    <tableColumn id="15" name="Producto"/>
    <tableColumn id="16" name="Color"/>
    <tableColumn id="17" name="Pie"/>
    <tableColumn id="18" name="Valor financiado"/>
    <tableColumn id="19" name="Documentación"/>
    <tableColumn id="20" name="Valor total"/>
    <tableColumn id="21" name="Porcentaje pie"/>
    <tableColumn id="22" name="Fecha término"/>
    <tableColumn id="23" name="RUT"/>
    <tableColumn id="24" name="Correo"/>
    <tableColumn id="25" name="Cumpleaños"/>
    <tableColumn id="26" name="Test drive"/>
    <tableColumn id="27" name="Interés"/>
    <tableColumn id="28" name="Meses"/>
    <tableColumn id="29" name="Prioridad"/>
    <tableColumn id="30" name="Mes cumple"/>
    <tableColumn id="31" name="Día cumple"/>
    <tableColumn id="32" name="Orden"/>
    <tableColumn id="33" name="Orden cumple"/>
    <tableColumn id="34" name="Orden oferta"/>
    <tableColumn id="35" name="Plazo oferta"/>
    <tableColumn id="36" name="Fila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Agenda" displayName="tblAgenda" ref="A4:H34" headerRowCount="1">
  <autoFilter ref="A4:H34"/>
  <tableColumns count="8">
    <tableColumn id="1" name="Nombre"/>
    <tableColumn id="2" name="Teléfono"/>
    <tableColumn id="3" name="Vehículo"/>
    <tableColumn id="4" name="Versión"/>
    <tableColumn id="5" name="Pendiente"/>
    <tableColumn id="6" name="Fecha"/>
    <tableColumn id="7" name="Hecho"/>
    <tableColumn id="8" name="Nota"/>
  </tableColumns>
  <tableStyleInfo name="TableStyleMedium2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C8102E"/>
    <outlinePr summaryBelow="1" summaryRight="1"/>
    <pageSetUpPr fitToPage="1"/>
  </sheetPr>
  <dimension ref="A1:L38"/>
  <sheetViews>
    <sheetView showGridLines="0" view="normal" zoomScale="11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22" customWidth="1" min="5" max="5"/>
    <col width="28" customWidth="1" min="6" max="6"/>
    <col width="3" customWidth="1" min="7" max="7"/>
    <col width="28" customWidth="1" min="8" max="8"/>
    <col width="18" customWidth="1" min="9" max="9"/>
    <col width="14" customWidth="1" min="10" max="10"/>
    <col width="14" customWidth="1" min="11" max="11"/>
    <col width="16" customWidth="1" min="12" max="12"/>
  </cols>
  <sheetData>
    <row r="1" ht="36" customHeight="1">
      <c r="A1" s="1" t="inlineStr">
        <is>
          <t>CARTERA HONDA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Amarillo se escribe. Gris se calcula solo.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6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 ht="8" customHeight="1"/>
    <row r="5" ht="8" customHeight="1"/>
    <row r="6" ht="32" customHeight="1">
      <c r="A6" s="5" t="inlineStr">
        <is>
          <t>VER OTRO</t>
        </is>
      </c>
      <c r="B6" s="6" t="n"/>
      <c r="C6" s="7" t="n"/>
      <c r="D6" s="8" t="n"/>
      <c r="E6" s="9" t="inlineStr">
        <is>
          <t>Si lo dejas vacío, aparece el cliente que más conviene llamar.</t>
        </is>
      </c>
    </row>
    <row r="7" ht="8" customHeight="1"/>
    <row r="8" ht="18" customHeight="1">
      <c r="A8" s="10" t="inlineStr">
        <is>
          <t>NOMBRE</t>
        </is>
      </c>
      <c r="B8" s="11" t="n"/>
      <c r="C8" s="12" t="inlineStr">
        <is>
          <t>TELÉFONO</t>
        </is>
      </c>
      <c r="D8" s="13" t="n"/>
      <c r="E8" s="10" t="inlineStr">
        <is>
          <t>VEHÍCULO</t>
        </is>
      </c>
      <c r="F8" s="11" t="n"/>
      <c r="G8" s="14">
        <f>IF(ClienteVista="","CUOTA",IF(IFERROR(INDEX(tblClientes[Forma de pago],MATCH(ClienteVista,tblClientes[Nombre],0)),"")="Contado","VALOR DEL AUTO","CUOTA"))</f>
        <v/>
      </c>
      <c r="H8" s="15" t="n"/>
      <c r="I8" s="16" t="inlineStr">
        <is>
          <t>ESTADO</t>
        </is>
      </c>
      <c r="J8" s="17" t="n"/>
      <c r="K8" s="18" t="inlineStr">
        <is>
          <t>CUÁNDO</t>
        </is>
      </c>
      <c r="L8" s="19" t="n"/>
    </row>
    <row r="9" ht="28" customHeight="1">
      <c r="A9" s="20">
        <f>IF(ClienteVista="","",ClienteVista)</f>
        <v/>
      </c>
      <c r="B9" s="21" t="n"/>
      <c r="C9" s="22">
        <f>IF(ClienteVista="","",IFERROR(INDEX(tblClientes[Teléfono],MATCH(ClienteVista,tblClientes[Nombre],0)),""))</f>
        <v/>
      </c>
      <c r="D9" s="21" t="n"/>
      <c r="E9" s="20">
        <f>IF(ClienteVista="","",IFERROR(INDEX(tblClientes[Vehículo],MATCH(ClienteVista,tblClientes[Nombre],0)),""))</f>
        <v/>
      </c>
      <c r="F9" s="21" t="n"/>
      <c r="G9" s="23">
        <f>IF(ClienteVista="","",IF(IFERROR(INDEX(tblClientes[Forma de pago],MATCH(ClienteVista,tblClientes[Nombre],0)),"")="Contado",IF(COUNTIFS(tblClientes[Nombre],ClienteVista,tblClientes[Valor vehículo],"&gt;0")=0,"",INDEX(tblClientes[Valor vehículo],MATCH(ClienteVista,tblClientes[Nombre],0))),IF(COUNTIFS(tblClientes[Nombre],ClienteVista,tblClientes[Valor cuota],"&gt;0")=0,"",INDEX(tblClientes[Valor cuota],MATCH(ClienteVista,tblClientes[Nombre],0)))))</f>
        <v/>
      </c>
      <c r="H9" s="21" t="n"/>
      <c r="I9" s="24">
        <f>IF(ClienteVista="","",IFERROR(INDEX(tblClientes[Estado],MATCH(ClienteVista,tblClientes[Nombre],0)),""))</f>
        <v/>
      </c>
      <c r="J9" s="21" t="n"/>
      <c r="K9" s="25">
        <f>IF(ClienteVista="","",IFERROR(INDEX(tblClientes[Cuándo],MATCH(ClienteVista,tblClientes[Nombre],0)),""))</f>
        <v/>
      </c>
      <c r="L9" s="21" t="n"/>
    </row>
    <row r="10" ht="28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</row>
    <row r="11" ht="20" customHeight="1">
      <c r="A11" s="26">
        <f>IF(ClienteVista="","",TRIM(IFERROR(INDEX(tblClientes[Vehículo],MATCH(ClienteVista,tblClientes[Nombre],0)),"")&amp;" "&amp;IFERROR(INDEX(tblClientes[Versión],MATCH(ClienteVista,tblClientes[Nombre],0)),"")))</f>
        <v/>
      </c>
      <c r="B11" s="27" t="n"/>
      <c r="C11" s="26">
        <f>IF(ClienteVista="","",IFERROR(INDEX(tblClientes[Forma de pago],MATCH(ClienteVista,tblClientes[Nombre],0)),""))</f>
        <v/>
      </c>
      <c r="D11" s="27" t="n"/>
      <c r="E11" s="26">
        <f>IF(ClienteVista="","",IFERROR(INDEX(tblClientes[Versión],MATCH(ClienteVista,tblClientes[Nombre],0)),""))</f>
        <v/>
      </c>
      <c r="F11" s="27" t="n"/>
      <c r="G11" s="26">
        <f>IF(ClienteVista="","",IF(IFERROR(INDEX(tblClientes[Forma de pago],MATCH(ClienteVista,tblClientes[Nombre],0)),"")="Contado","Contado",IF(COUNTIFS(tblClientes[Nombre],ClienteVista,tblClientes[Plazo meses],"&gt;0")=0,"",INDEX(tblClientes[Plazo meses],MATCH(ClienteVista,tblClientes[Nombre],0))&amp;" meses")))</f>
        <v/>
      </c>
      <c r="H11" s="27" t="n"/>
      <c r="I11" s="26">
        <f>IF(ClienteVista="","",IFERROR(INDEX(tblClientes[Producto],MATCH(ClienteVista,tblClientes[Nombre],0)),""))</f>
        <v/>
      </c>
      <c r="J11" s="27" t="n"/>
      <c r="K11" s="26">
        <f>IF(ClienteVista="","",IFERROR(INDEX(tblClientes[Teléfono],MATCH(ClienteVista,tblClientes[Nombre],0)),""))</f>
        <v/>
      </c>
      <c r="L11" s="27" t="n"/>
    </row>
    <row r="12" ht="10" customHeight="1"/>
    <row r="13" ht="18" customHeight="1">
      <c r="A13" s="28" t="inlineStr">
        <is>
          <t>CLIENTES</t>
        </is>
      </c>
      <c r="B13" s="11" t="n"/>
      <c r="C13" s="29" t="inlineStr">
        <is>
          <t>CONTADO</t>
        </is>
      </c>
      <c r="D13" s="30" t="n"/>
      <c r="E13" s="31" t="inlineStr">
        <is>
          <t>CRÉDITO</t>
        </is>
      </c>
      <c r="F13" s="13" t="n"/>
      <c r="G13" s="32" t="inlineStr">
        <is>
          <t>CUOTA TÍPICA</t>
        </is>
      </c>
      <c r="H13" s="15" t="n"/>
      <c r="I13" s="33" t="inlineStr">
        <is>
          <t>VALOR TÍPICO</t>
        </is>
      </c>
      <c r="J13" s="34" t="n"/>
      <c r="K13" s="35" t="inlineStr">
        <is>
          <t>PARA LLAMAR</t>
        </is>
      </c>
      <c r="L13" s="19" t="n"/>
    </row>
    <row r="14" ht="26" customHeight="1">
      <c r="A14" s="36">
        <f>COUNTIF(tblClientes[Nombre],"?*")</f>
        <v/>
      </c>
      <c r="B14" s="11" t="n"/>
      <c r="C14" s="37">
        <f>COUNTIFS(tblClientes[Nombre],"?*",tblClientes[Forma de pago],"Contado")</f>
        <v/>
      </c>
      <c r="D14" s="30" t="n"/>
      <c r="E14" s="38">
        <f>COUNTIFS(tblClientes[Nombre],"?*",tblClientes[Forma de pago],"Crédito")</f>
        <v/>
      </c>
      <c r="F14" s="13" t="n"/>
      <c r="G14" s="39">
        <f>IFERROR(AVERAGEIFS(tblClientes[Valor cuota],tblClientes[Forma de pago],"Crédito",tblClientes[Valor cuota],"&gt;0"),"")</f>
        <v/>
      </c>
      <c r="H14" s="15" t="n"/>
      <c r="I14" s="40">
        <f>IFERROR(AVERAGEIFS(tblClientes[Valor vehículo],tblClientes[Nombre],"?*",tblClientes[Valor vehículo],"&gt;0"),"")</f>
        <v/>
      </c>
      <c r="J14" s="34" t="n"/>
      <c r="K14" s="41">
        <f>COUNTIF(tblClientes[Estado],"Renovar ahora")+COUNTIF(tblClientes[Estado],"Pronto")+COUNTIF(tblClientes[Estado],"Crédito terminado")+COUNTIF(tblClientes[Estado],"Ofrecer renovación")</f>
        <v/>
      </c>
      <c r="L14" s="19" t="n"/>
    </row>
    <row r="15" ht="26" customHeight="1">
      <c r="A15" s="11" t="n"/>
      <c r="B15" s="11" t="n"/>
      <c r="C15" s="30" t="n"/>
      <c r="D15" s="30" t="n"/>
      <c r="E15" s="13" t="n"/>
      <c r="F15" s="13" t="n"/>
      <c r="G15" s="15" t="n"/>
      <c r="H15" s="15" t="n"/>
      <c r="I15" s="34" t="n"/>
      <c r="J15" s="34" t="n"/>
      <c r="K15" s="19" t="n"/>
      <c r="L15" s="19" t="n"/>
    </row>
    <row r="16" ht="8" customHeight="1"/>
    <row r="17" ht="20" customHeight="1">
      <c r="A17" s="42" t="inlineStr">
        <is>
          <t>Renovar ahora</t>
        </is>
      </c>
      <c r="B17" s="43" t="n"/>
      <c r="C17" s="44" t="inlineStr">
        <is>
          <t>Pronto</t>
        </is>
      </c>
      <c r="D17" s="45" t="n"/>
      <c r="E17" s="46" t="inlineStr">
        <is>
          <t>Crédito terminado</t>
        </is>
      </c>
      <c r="F17" s="47" t="n"/>
      <c r="G17" s="48" t="inlineStr">
        <is>
          <t>Ofrecer renovación</t>
        </is>
      </c>
      <c r="H17" s="49" t="n"/>
      <c r="I17" s="50" t="inlineStr">
        <is>
          <t>Contado</t>
        </is>
      </c>
      <c r="J17" s="51" t="n"/>
      <c r="K17" s="52" t="inlineStr">
        <is>
          <t>En curso</t>
        </is>
      </c>
      <c r="L17" s="53" t="n"/>
    </row>
    <row r="18" ht="8" customHeight="1"/>
    <row r="19" ht="24" customHeight="1">
      <c r="A19" s="54" t="inlineStr">
        <is>
          <t>PARA LLAMAR</t>
        </is>
      </c>
      <c r="H19" s="54" t="inlineStr">
        <is>
          <t>CUMPLEAÑOS DE ESTE MES</t>
        </is>
      </c>
    </row>
    <row r="20">
      <c r="A20" s="46" t="inlineStr">
        <is>
          <t>Nombre</t>
        </is>
      </c>
      <c r="B20" s="46" t="inlineStr">
        <is>
          <t>Teléfono</t>
        </is>
      </c>
      <c r="C20" s="46" t="inlineStr">
        <is>
          <t>Vehículo</t>
        </is>
      </c>
      <c r="D20" s="46" t="inlineStr">
        <is>
          <t>Cuota</t>
        </is>
      </c>
      <c r="E20" s="46" t="inlineStr">
        <is>
          <t>Estado</t>
        </is>
      </c>
      <c r="F20" s="46" t="inlineStr">
        <is>
          <t>Cuándo</t>
        </is>
      </c>
      <c r="H20" s="55" t="inlineStr">
        <is>
          <t>Nombre</t>
        </is>
      </c>
      <c r="I20" s="55" t="inlineStr">
        <is>
          <t>Teléfono</t>
        </is>
      </c>
      <c r="J20" s="55" t="inlineStr">
        <is>
          <t>Vehículo</t>
        </is>
      </c>
      <c r="K20" s="55" t="inlineStr">
        <is>
          <t>Día</t>
        </is>
      </c>
    </row>
    <row r="21" ht="22" customHeight="1">
      <c r="A21" s="56">
        <f>IFERROR(INDEX(tblClientes[Nombre],MATCH(SMALL(tblClientes[Orden],ROWS($A$21:A21)),tblClientes[Orden],0)),"")</f>
        <v/>
      </c>
      <c r="B21" s="57">
        <f>IFERROR(INDEX(tblClientes[Teléfono],MATCH(SMALL(tblClientes[Orden],ROWS($A$21:A21)),tblClientes[Orden],0)),"")</f>
        <v/>
      </c>
      <c r="C21" s="56">
        <f>IFERROR(INDEX(tblClientes[Vehículo],MATCH(SMALL(tblClientes[Orden],ROWS($A$21:A21)),tblClientes[Orden],0)),"")</f>
        <v/>
      </c>
      <c r="D21" s="58">
        <f>IFERROR(INDEX(tblClientes[Valor cuota],MATCH(SMALL(tblClientes[Orden],ROWS($A$21:A21)),tblClientes[Orden],0)),"")</f>
        <v/>
      </c>
      <c r="E21" s="56">
        <f>IFERROR(INDEX(tblClientes[Estado],MATCH(SMALL(tblClientes[Orden],ROWS($A$21:A21)),tblClientes[Orden],0)),"")</f>
        <v/>
      </c>
      <c r="F21" s="56">
        <f>IFERROR(INDEX(tblClientes[Cuándo],MATCH(SMALL(tblClientes[Orden],ROWS($A$21:A21)),tblClientes[Orden],0)),"")</f>
        <v/>
      </c>
      <c r="H21" s="56">
        <f>IFERROR(INDEX(tblClientes[Nombre],MATCH(SMALL(tblClientes[Orden cumple],ROWS($H$21:H21)),tblClientes[Orden cumple],0)),"")</f>
        <v/>
      </c>
      <c r="I21" s="57">
        <f>IFERROR(INDEX(tblClientes[Teléfono],MATCH(SMALL(tblClientes[Orden cumple],ROWS($H$21:H21)),tblClientes[Orden cumple],0)),"")</f>
        <v/>
      </c>
      <c r="J21" s="56">
        <f>IFERROR(INDEX(tblClientes[Vehículo],MATCH(SMALL(tblClientes[Orden cumple],ROWS($H$21:H21)),tblClientes[Orden cumple],0)),"")</f>
        <v/>
      </c>
      <c r="K21" s="59">
        <f>IFERROR(INDEX(tblClientes[Cumpleaños],MATCH(SMALL(tblClientes[Orden cumple],ROWS($H$21:H21)),tblClientes[Orden cumple],0)),"")</f>
        <v/>
      </c>
    </row>
    <row r="22" ht="22" customHeight="1">
      <c r="A22" s="56">
        <f>IFERROR(INDEX(tblClientes[Nombre],MATCH(SMALL(tblClientes[Orden],ROWS($A$21:A22)),tblClientes[Orden],0)),"")</f>
        <v/>
      </c>
      <c r="B22" s="57">
        <f>IFERROR(INDEX(tblClientes[Teléfono],MATCH(SMALL(tblClientes[Orden],ROWS($A$21:A22)),tblClientes[Orden],0)),"")</f>
        <v/>
      </c>
      <c r="C22" s="56">
        <f>IFERROR(INDEX(tblClientes[Vehículo],MATCH(SMALL(tblClientes[Orden],ROWS($A$21:A22)),tblClientes[Orden],0)),"")</f>
        <v/>
      </c>
      <c r="D22" s="58">
        <f>IFERROR(INDEX(tblClientes[Valor cuota],MATCH(SMALL(tblClientes[Orden],ROWS($A$21:A22)),tblClientes[Orden],0)),"")</f>
        <v/>
      </c>
      <c r="E22" s="56">
        <f>IFERROR(INDEX(tblClientes[Estado],MATCH(SMALL(tblClientes[Orden],ROWS($A$21:A22)),tblClientes[Orden],0)),"")</f>
        <v/>
      </c>
      <c r="F22" s="56">
        <f>IFERROR(INDEX(tblClientes[Cuándo],MATCH(SMALL(tblClientes[Orden],ROWS($A$21:A22)),tblClientes[Orden],0)),"")</f>
        <v/>
      </c>
      <c r="H22" s="56">
        <f>IFERROR(INDEX(tblClientes[Nombre],MATCH(SMALL(tblClientes[Orden cumple],ROWS($H$21:H22)),tblClientes[Orden cumple],0)),"")</f>
        <v/>
      </c>
      <c r="I22" s="57">
        <f>IFERROR(INDEX(tblClientes[Teléfono],MATCH(SMALL(tblClientes[Orden cumple],ROWS($H$21:H22)),tblClientes[Orden cumple],0)),"")</f>
        <v/>
      </c>
      <c r="J22" s="56">
        <f>IFERROR(INDEX(tblClientes[Vehículo],MATCH(SMALL(tblClientes[Orden cumple],ROWS($H$21:H22)),tblClientes[Orden cumple],0)),"")</f>
        <v/>
      </c>
      <c r="K22" s="59">
        <f>IFERROR(INDEX(tblClientes[Cumpleaños],MATCH(SMALL(tblClientes[Orden cumple],ROWS($H$21:H22)),tblClientes[Orden cumple],0)),"")</f>
        <v/>
      </c>
    </row>
    <row r="23" ht="22" customHeight="1">
      <c r="A23" s="56">
        <f>IFERROR(INDEX(tblClientes[Nombre],MATCH(SMALL(tblClientes[Orden],ROWS($A$21:A23)),tblClientes[Orden],0)),"")</f>
        <v/>
      </c>
      <c r="B23" s="57">
        <f>IFERROR(INDEX(tblClientes[Teléfono],MATCH(SMALL(tblClientes[Orden],ROWS($A$21:A23)),tblClientes[Orden],0)),"")</f>
        <v/>
      </c>
      <c r="C23" s="56">
        <f>IFERROR(INDEX(tblClientes[Vehículo],MATCH(SMALL(tblClientes[Orden],ROWS($A$21:A23)),tblClientes[Orden],0)),"")</f>
        <v/>
      </c>
      <c r="D23" s="58">
        <f>IFERROR(INDEX(tblClientes[Valor cuota],MATCH(SMALL(tblClientes[Orden],ROWS($A$21:A23)),tblClientes[Orden],0)),"")</f>
        <v/>
      </c>
      <c r="E23" s="56">
        <f>IFERROR(INDEX(tblClientes[Estado],MATCH(SMALL(tblClientes[Orden],ROWS($A$21:A23)),tblClientes[Orden],0)),"")</f>
        <v/>
      </c>
      <c r="F23" s="56">
        <f>IFERROR(INDEX(tblClientes[Cuándo],MATCH(SMALL(tblClientes[Orden],ROWS($A$21:A23)),tblClientes[Orden],0)),"")</f>
        <v/>
      </c>
      <c r="H23" s="56">
        <f>IFERROR(INDEX(tblClientes[Nombre],MATCH(SMALL(tblClientes[Orden cumple],ROWS($H$21:H23)),tblClientes[Orden cumple],0)),"")</f>
        <v/>
      </c>
      <c r="I23" s="57">
        <f>IFERROR(INDEX(tblClientes[Teléfono],MATCH(SMALL(tblClientes[Orden cumple],ROWS($H$21:H23)),tblClientes[Orden cumple],0)),"")</f>
        <v/>
      </c>
      <c r="J23" s="56">
        <f>IFERROR(INDEX(tblClientes[Vehículo],MATCH(SMALL(tblClientes[Orden cumple],ROWS($H$21:H23)),tblClientes[Orden cumple],0)),"")</f>
        <v/>
      </c>
      <c r="K23" s="59">
        <f>IFERROR(INDEX(tblClientes[Cumpleaños],MATCH(SMALL(tblClientes[Orden cumple],ROWS($H$21:H23)),tblClientes[Orden cumple],0)),"")</f>
        <v/>
      </c>
    </row>
    <row r="24" ht="22" customHeight="1">
      <c r="A24" s="56">
        <f>IFERROR(INDEX(tblClientes[Nombre],MATCH(SMALL(tblClientes[Orden],ROWS($A$21:A24)),tblClientes[Orden],0)),"")</f>
        <v/>
      </c>
      <c r="B24" s="57">
        <f>IFERROR(INDEX(tblClientes[Teléfono],MATCH(SMALL(tblClientes[Orden],ROWS($A$21:A24)),tblClientes[Orden],0)),"")</f>
        <v/>
      </c>
      <c r="C24" s="56">
        <f>IFERROR(INDEX(tblClientes[Vehículo],MATCH(SMALL(tblClientes[Orden],ROWS($A$21:A24)),tblClientes[Orden],0)),"")</f>
        <v/>
      </c>
      <c r="D24" s="58">
        <f>IFERROR(INDEX(tblClientes[Valor cuota],MATCH(SMALL(tblClientes[Orden],ROWS($A$21:A24)),tblClientes[Orden],0)),"")</f>
        <v/>
      </c>
      <c r="E24" s="56">
        <f>IFERROR(INDEX(tblClientes[Estado],MATCH(SMALL(tblClientes[Orden],ROWS($A$21:A24)),tblClientes[Orden],0)),"")</f>
        <v/>
      </c>
      <c r="F24" s="56">
        <f>IFERROR(INDEX(tblClientes[Cuándo],MATCH(SMALL(tblClientes[Orden],ROWS($A$21:A24)),tblClientes[Orden],0)),"")</f>
        <v/>
      </c>
      <c r="H24" s="56">
        <f>IFERROR(INDEX(tblClientes[Nombre],MATCH(SMALL(tblClientes[Orden cumple],ROWS($H$21:H24)),tblClientes[Orden cumple],0)),"")</f>
        <v/>
      </c>
      <c r="I24" s="57">
        <f>IFERROR(INDEX(tblClientes[Teléfono],MATCH(SMALL(tblClientes[Orden cumple],ROWS($H$21:H24)),tblClientes[Orden cumple],0)),"")</f>
        <v/>
      </c>
      <c r="J24" s="56">
        <f>IFERROR(INDEX(tblClientes[Vehículo],MATCH(SMALL(tblClientes[Orden cumple],ROWS($H$21:H24)),tblClientes[Orden cumple],0)),"")</f>
        <v/>
      </c>
      <c r="K24" s="59">
        <f>IFERROR(INDEX(tblClientes[Cumpleaños],MATCH(SMALL(tblClientes[Orden cumple],ROWS($H$21:H24)),tblClientes[Orden cumple],0)),"")</f>
        <v/>
      </c>
    </row>
    <row r="25" ht="22" customHeight="1">
      <c r="A25" s="56">
        <f>IFERROR(INDEX(tblClientes[Nombre],MATCH(SMALL(tblClientes[Orden],ROWS($A$21:A25)),tblClientes[Orden],0)),"")</f>
        <v/>
      </c>
      <c r="B25" s="57">
        <f>IFERROR(INDEX(tblClientes[Teléfono],MATCH(SMALL(tblClientes[Orden],ROWS($A$21:A25)),tblClientes[Orden],0)),"")</f>
        <v/>
      </c>
      <c r="C25" s="56">
        <f>IFERROR(INDEX(tblClientes[Vehículo],MATCH(SMALL(tblClientes[Orden],ROWS($A$21:A25)),tblClientes[Orden],0)),"")</f>
        <v/>
      </c>
      <c r="D25" s="58">
        <f>IFERROR(INDEX(tblClientes[Valor cuota],MATCH(SMALL(tblClientes[Orden],ROWS($A$21:A25)),tblClientes[Orden],0)),"")</f>
        <v/>
      </c>
      <c r="E25" s="56">
        <f>IFERROR(INDEX(tblClientes[Estado],MATCH(SMALL(tblClientes[Orden],ROWS($A$21:A25)),tblClientes[Orden],0)),"")</f>
        <v/>
      </c>
      <c r="F25" s="56">
        <f>IFERROR(INDEX(tblClientes[Cuándo],MATCH(SMALL(tblClientes[Orden],ROWS($A$21:A25)),tblClientes[Orden],0)),"")</f>
        <v/>
      </c>
      <c r="H25" s="56">
        <f>IFERROR(INDEX(tblClientes[Nombre],MATCH(SMALL(tblClientes[Orden cumple],ROWS($H$21:H25)),tblClientes[Orden cumple],0)),"")</f>
        <v/>
      </c>
      <c r="I25" s="57">
        <f>IFERROR(INDEX(tblClientes[Teléfono],MATCH(SMALL(tblClientes[Orden cumple],ROWS($H$21:H25)),tblClientes[Orden cumple],0)),"")</f>
        <v/>
      </c>
      <c r="J25" s="56">
        <f>IFERROR(INDEX(tblClientes[Vehículo],MATCH(SMALL(tblClientes[Orden cumple],ROWS($H$21:H25)),tblClientes[Orden cumple],0)),"")</f>
        <v/>
      </c>
      <c r="K25" s="59">
        <f>IFERROR(INDEX(tblClientes[Cumpleaños],MATCH(SMALL(tblClientes[Orden cumple],ROWS($H$21:H25)),tblClientes[Orden cumple],0)),"")</f>
        <v/>
      </c>
    </row>
    <row r="26" ht="22" customHeight="1">
      <c r="A26" s="56">
        <f>IFERROR(INDEX(tblClientes[Nombre],MATCH(SMALL(tblClientes[Orden],ROWS($A$21:A26)),tblClientes[Orden],0)),"")</f>
        <v/>
      </c>
      <c r="B26" s="57">
        <f>IFERROR(INDEX(tblClientes[Teléfono],MATCH(SMALL(tblClientes[Orden],ROWS($A$21:A26)),tblClientes[Orden],0)),"")</f>
        <v/>
      </c>
      <c r="C26" s="56">
        <f>IFERROR(INDEX(tblClientes[Vehículo],MATCH(SMALL(tblClientes[Orden],ROWS($A$21:A26)),tblClientes[Orden],0)),"")</f>
        <v/>
      </c>
      <c r="D26" s="58">
        <f>IFERROR(INDEX(tblClientes[Valor cuota],MATCH(SMALL(tblClientes[Orden],ROWS($A$21:A26)),tblClientes[Orden],0)),"")</f>
        <v/>
      </c>
      <c r="E26" s="56">
        <f>IFERROR(INDEX(tblClientes[Estado],MATCH(SMALL(tblClientes[Orden],ROWS($A$21:A26)),tblClientes[Orden],0)),"")</f>
        <v/>
      </c>
      <c r="F26" s="56">
        <f>IFERROR(INDEX(tblClientes[Cuándo],MATCH(SMALL(tblClientes[Orden],ROWS($A$21:A26)),tblClientes[Orden],0)),"")</f>
        <v/>
      </c>
      <c r="H26" s="56">
        <f>IFERROR(INDEX(tblClientes[Nombre],MATCH(SMALL(tblClientes[Orden cumple],ROWS($H$21:H26)),tblClientes[Orden cumple],0)),"")</f>
        <v/>
      </c>
      <c r="I26" s="57">
        <f>IFERROR(INDEX(tblClientes[Teléfono],MATCH(SMALL(tblClientes[Orden cumple],ROWS($H$21:H26)),tblClientes[Orden cumple],0)),"")</f>
        <v/>
      </c>
      <c r="J26" s="56">
        <f>IFERROR(INDEX(tblClientes[Vehículo],MATCH(SMALL(tblClientes[Orden cumple],ROWS($H$21:H26)),tblClientes[Orden cumple],0)),"")</f>
        <v/>
      </c>
      <c r="K26" s="59">
        <f>IFERROR(INDEX(tblClientes[Cumpleaños],MATCH(SMALL(tblClientes[Orden cumple],ROWS($H$21:H26)),tblClientes[Orden cumple],0)),"")</f>
        <v/>
      </c>
    </row>
    <row r="27" ht="22" customHeight="1">
      <c r="A27" s="56">
        <f>IFERROR(INDEX(tblClientes[Nombre],MATCH(SMALL(tblClientes[Orden],ROWS($A$21:A27)),tblClientes[Orden],0)),"")</f>
        <v/>
      </c>
      <c r="B27" s="57">
        <f>IFERROR(INDEX(tblClientes[Teléfono],MATCH(SMALL(tblClientes[Orden],ROWS($A$21:A27)),tblClientes[Orden],0)),"")</f>
        <v/>
      </c>
      <c r="C27" s="56">
        <f>IFERROR(INDEX(tblClientes[Vehículo],MATCH(SMALL(tblClientes[Orden],ROWS($A$21:A27)),tblClientes[Orden],0)),"")</f>
        <v/>
      </c>
      <c r="D27" s="58">
        <f>IFERROR(INDEX(tblClientes[Valor cuota],MATCH(SMALL(tblClientes[Orden],ROWS($A$21:A27)),tblClientes[Orden],0)),"")</f>
        <v/>
      </c>
      <c r="E27" s="56">
        <f>IFERROR(INDEX(tblClientes[Estado],MATCH(SMALL(tblClientes[Orden],ROWS($A$21:A27)),tblClientes[Orden],0)),"")</f>
        <v/>
      </c>
      <c r="F27" s="56">
        <f>IFERROR(INDEX(tblClientes[Cuándo],MATCH(SMALL(tblClientes[Orden],ROWS($A$21:A27)),tblClientes[Orden],0)),"")</f>
        <v/>
      </c>
      <c r="H27" s="56">
        <f>IFERROR(INDEX(tblClientes[Nombre],MATCH(SMALL(tblClientes[Orden cumple],ROWS($H$21:H27)),tblClientes[Orden cumple],0)),"")</f>
        <v/>
      </c>
      <c r="I27" s="57">
        <f>IFERROR(INDEX(tblClientes[Teléfono],MATCH(SMALL(tblClientes[Orden cumple],ROWS($H$21:H27)),tblClientes[Orden cumple],0)),"")</f>
        <v/>
      </c>
      <c r="J27" s="56">
        <f>IFERROR(INDEX(tblClientes[Vehículo],MATCH(SMALL(tblClientes[Orden cumple],ROWS($H$21:H27)),tblClientes[Orden cumple],0)),"")</f>
        <v/>
      </c>
      <c r="K27" s="59">
        <f>IFERROR(INDEX(tblClientes[Cumpleaños],MATCH(SMALL(tblClientes[Orden cumple],ROWS($H$21:H27)),tblClientes[Orden cumple],0)),"")</f>
        <v/>
      </c>
    </row>
    <row r="28" ht="22" customHeight="1">
      <c r="A28" s="56">
        <f>IFERROR(INDEX(tblClientes[Nombre],MATCH(SMALL(tblClientes[Orden],ROWS($A$21:A28)),tblClientes[Orden],0)),"")</f>
        <v/>
      </c>
      <c r="B28" s="57">
        <f>IFERROR(INDEX(tblClientes[Teléfono],MATCH(SMALL(tblClientes[Orden],ROWS($A$21:A28)),tblClientes[Orden],0)),"")</f>
        <v/>
      </c>
      <c r="C28" s="56">
        <f>IFERROR(INDEX(tblClientes[Vehículo],MATCH(SMALL(tblClientes[Orden],ROWS($A$21:A28)),tblClientes[Orden],0)),"")</f>
        <v/>
      </c>
      <c r="D28" s="58">
        <f>IFERROR(INDEX(tblClientes[Valor cuota],MATCH(SMALL(tblClientes[Orden],ROWS($A$21:A28)),tblClientes[Orden],0)),"")</f>
        <v/>
      </c>
      <c r="E28" s="56">
        <f>IFERROR(INDEX(tblClientes[Estado],MATCH(SMALL(tblClientes[Orden],ROWS($A$21:A28)),tblClientes[Orden],0)),"")</f>
        <v/>
      </c>
      <c r="F28" s="56">
        <f>IFERROR(INDEX(tblClientes[Cuándo],MATCH(SMALL(tblClientes[Orden],ROWS($A$21:A28)),tblClientes[Orden],0)),"")</f>
        <v/>
      </c>
      <c r="H28" s="56">
        <f>IFERROR(INDEX(tblClientes[Nombre],MATCH(SMALL(tblClientes[Orden cumple],ROWS($H$21:H28)),tblClientes[Orden cumple],0)),"")</f>
        <v/>
      </c>
      <c r="I28" s="57">
        <f>IFERROR(INDEX(tblClientes[Teléfono],MATCH(SMALL(tblClientes[Orden cumple],ROWS($H$21:H28)),tblClientes[Orden cumple],0)),"")</f>
        <v/>
      </c>
      <c r="J28" s="56">
        <f>IFERROR(INDEX(tblClientes[Vehículo],MATCH(SMALL(tblClientes[Orden cumple],ROWS($H$21:H28)),tblClientes[Orden cumple],0)),"")</f>
        <v/>
      </c>
      <c r="K28" s="59">
        <f>IFERROR(INDEX(tblClientes[Cumpleaños],MATCH(SMALL(tblClientes[Orden cumple],ROWS($H$21:H28)),tblClientes[Orden cumple],0)),"")</f>
        <v/>
      </c>
    </row>
    <row r="29" ht="22" customHeight="1">
      <c r="A29" s="56">
        <f>IFERROR(INDEX(tblClientes[Nombre],MATCH(SMALL(tblClientes[Orden],ROWS($A$21:A29)),tblClientes[Orden],0)),"")</f>
        <v/>
      </c>
      <c r="B29" s="57">
        <f>IFERROR(INDEX(tblClientes[Teléfono],MATCH(SMALL(tblClientes[Orden],ROWS($A$21:A29)),tblClientes[Orden],0)),"")</f>
        <v/>
      </c>
      <c r="C29" s="56">
        <f>IFERROR(INDEX(tblClientes[Vehículo],MATCH(SMALL(tblClientes[Orden],ROWS($A$21:A29)),tblClientes[Orden],0)),"")</f>
        <v/>
      </c>
      <c r="D29" s="58">
        <f>IFERROR(INDEX(tblClientes[Valor cuota],MATCH(SMALL(tblClientes[Orden],ROWS($A$21:A29)),tblClientes[Orden],0)),"")</f>
        <v/>
      </c>
      <c r="E29" s="56">
        <f>IFERROR(INDEX(tblClientes[Estado],MATCH(SMALL(tblClientes[Orden],ROWS($A$21:A29)),tblClientes[Orden],0)),"")</f>
        <v/>
      </c>
      <c r="F29" s="56">
        <f>IFERROR(INDEX(tblClientes[Cuándo],MATCH(SMALL(tblClientes[Orden],ROWS($A$21:A29)),tblClientes[Orden],0)),"")</f>
        <v/>
      </c>
      <c r="H29" s="56">
        <f>IFERROR(INDEX(tblClientes[Nombre],MATCH(SMALL(tblClientes[Orden cumple],ROWS($H$21:H29)),tblClientes[Orden cumple],0)),"")</f>
        <v/>
      </c>
      <c r="I29" s="57">
        <f>IFERROR(INDEX(tblClientes[Teléfono],MATCH(SMALL(tblClientes[Orden cumple],ROWS($H$21:H29)),tblClientes[Orden cumple],0)),"")</f>
        <v/>
      </c>
      <c r="J29" s="56">
        <f>IFERROR(INDEX(tblClientes[Vehículo],MATCH(SMALL(tblClientes[Orden cumple],ROWS($H$21:H29)),tblClientes[Orden cumple],0)),"")</f>
        <v/>
      </c>
      <c r="K29" s="59">
        <f>IFERROR(INDEX(tblClientes[Cumpleaños],MATCH(SMALL(tblClientes[Orden cumple],ROWS($H$21:H29)),tblClientes[Orden cumple],0)),"")</f>
        <v/>
      </c>
    </row>
    <row r="30" ht="22" customHeight="1">
      <c r="A30" s="56">
        <f>IFERROR(INDEX(tblClientes[Nombre],MATCH(SMALL(tblClientes[Orden],ROWS($A$21:A30)),tblClientes[Orden],0)),"")</f>
        <v/>
      </c>
      <c r="B30" s="57">
        <f>IFERROR(INDEX(tblClientes[Teléfono],MATCH(SMALL(tblClientes[Orden],ROWS($A$21:A30)),tblClientes[Orden],0)),"")</f>
        <v/>
      </c>
      <c r="C30" s="56">
        <f>IFERROR(INDEX(tblClientes[Vehículo],MATCH(SMALL(tblClientes[Orden],ROWS($A$21:A30)),tblClientes[Orden],0)),"")</f>
        <v/>
      </c>
      <c r="D30" s="58">
        <f>IFERROR(INDEX(tblClientes[Valor cuota],MATCH(SMALL(tblClientes[Orden],ROWS($A$21:A30)),tblClientes[Orden],0)),"")</f>
        <v/>
      </c>
      <c r="E30" s="56">
        <f>IFERROR(INDEX(tblClientes[Estado],MATCH(SMALL(tblClientes[Orden],ROWS($A$21:A30)),tblClientes[Orden],0)),"")</f>
        <v/>
      </c>
      <c r="F30" s="56">
        <f>IFERROR(INDEX(tblClientes[Cuándo],MATCH(SMALL(tblClientes[Orden],ROWS($A$21:A30)),tblClientes[Orden],0)),"")</f>
        <v/>
      </c>
      <c r="H30" s="56">
        <f>IFERROR(INDEX(tblClientes[Nombre],MATCH(SMALL(tblClientes[Orden cumple],ROWS($H$21:H30)),tblClientes[Orden cumple],0)),"")</f>
        <v/>
      </c>
      <c r="I30" s="57">
        <f>IFERROR(INDEX(tblClientes[Teléfono],MATCH(SMALL(tblClientes[Orden cumple],ROWS($H$21:H30)),tblClientes[Orden cumple],0)),"")</f>
        <v/>
      </c>
      <c r="J30" s="56">
        <f>IFERROR(INDEX(tblClientes[Vehículo],MATCH(SMALL(tblClientes[Orden cumple],ROWS($H$21:H30)),tblClientes[Orden cumple],0)),"")</f>
        <v/>
      </c>
      <c r="K30" s="59">
        <f>IFERROR(INDEX(tblClientes[Cumpleaños],MATCH(SMALL(tblClientes[Orden cumple],ROWS($H$21:H30)),tblClientes[Orden cumple],0)),"")</f>
        <v/>
      </c>
    </row>
    <row r="31" ht="22" customHeight="1">
      <c r="A31" s="56">
        <f>IFERROR(INDEX(tblClientes[Nombre],MATCH(SMALL(tblClientes[Orden],ROWS($A$21:A31)),tblClientes[Orden],0)),"")</f>
        <v/>
      </c>
      <c r="B31" s="57">
        <f>IFERROR(INDEX(tblClientes[Teléfono],MATCH(SMALL(tblClientes[Orden],ROWS($A$21:A31)),tblClientes[Orden],0)),"")</f>
        <v/>
      </c>
      <c r="C31" s="56">
        <f>IFERROR(INDEX(tblClientes[Vehículo],MATCH(SMALL(tblClientes[Orden],ROWS($A$21:A31)),tblClientes[Orden],0)),"")</f>
        <v/>
      </c>
      <c r="D31" s="58">
        <f>IFERROR(INDEX(tblClientes[Valor cuota],MATCH(SMALL(tblClientes[Orden],ROWS($A$21:A31)),tblClientes[Orden],0)),"")</f>
        <v/>
      </c>
      <c r="E31" s="56">
        <f>IFERROR(INDEX(tblClientes[Estado],MATCH(SMALL(tblClientes[Orden],ROWS($A$21:A31)),tblClientes[Orden],0)),"")</f>
        <v/>
      </c>
      <c r="F31" s="56">
        <f>IFERROR(INDEX(tblClientes[Cuándo],MATCH(SMALL(tblClientes[Orden],ROWS($A$21:A31)),tblClientes[Orden],0)),"")</f>
        <v/>
      </c>
    </row>
    <row r="32" ht="22" customHeight="1">
      <c r="A32" s="56">
        <f>IFERROR(INDEX(tblClientes[Nombre],MATCH(SMALL(tblClientes[Orden],ROWS($A$21:A32)),tblClientes[Orden],0)),"")</f>
        <v/>
      </c>
      <c r="B32" s="57">
        <f>IFERROR(INDEX(tblClientes[Teléfono],MATCH(SMALL(tblClientes[Orden],ROWS($A$21:A32)),tblClientes[Orden],0)),"")</f>
        <v/>
      </c>
      <c r="C32" s="56">
        <f>IFERROR(INDEX(tblClientes[Vehículo],MATCH(SMALL(tblClientes[Orden],ROWS($A$21:A32)),tblClientes[Orden],0)),"")</f>
        <v/>
      </c>
      <c r="D32" s="58">
        <f>IFERROR(INDEX(tblClientes[Valor cuota],MATCH(SMALL(tblClientes[Orden],ROWS($A$21:A32)),tblClientes[Orden],0)),"")</f>
        <v/>
      </c>
      <c r="E32" s="56">
        <f>IFERROR(INDEX(tblClientes[Estado],MATCH(SMALL(tblClientes[Orden],ROWS($A$21:A32)),tblClientes[Orden],0)),"")</f>
        <v/>
      </c>
      <c r="F32" s="56">
        <f>IFERROR(INDEX(tblClientes[Cuándo],MATCH(SMALL(tblClientes[Orden],ROWS($A$21:A32)),tblClientes[Orden],0)),"")</f>
        <v/>
      </c>
    </row>
    <row r="33" ht="22" customHeight="1">
      <c r="A33" s="56">
        <f>IFERROR(INDEX(tblClientes[Nombre],MATCH(SMALL(tblClientes[Orden],ROWS($A$21:A33)),tblClientes[Orden],0)),"")</f>
        <v/>
      </c>
      <c r="B33" s="57">
        <f>IFERROR(INDEX(tblClientes[Teléfono],MATCH(SMALL(tblClientes[Orden],ROWS($A$21:A33)),tblClientes[Orden],0)),"")</f>
        <v/>
      </c>
      <c r="C33" s="56">
        <f>IFERROR(INDEX(tblClientes[Vehículo],MATCH(SMALL(tblClientes[Orden],ROWS($A$21:A33)),tblClientes[Orden],0)),"")</f>
        <v/>
      </c>
      <c r="D33" s="58">
        <f>IFERROR(INDEX(tblClientes[Valor cuota],MATCH(SMALL(tblClientes[Orden],ROWS($A$21:A33)),tblClientes[Orden],0)),"")</f>
        <v/>
      </c>
      <c r="E33" s="56">
        <f>IFERROR(INDEX(tblClientes[Estado],MATCH(SMALL(tblClientes[Orden],ROWS($A$21:A33)),tblClientes[Orden],0)),"")</f>
        <v/>
      </c>
      <c r="F33" s="56">
        <f>IFERROR(INDEX(tblClientes[Cuándo],MATCH(SMALL(tblClientes[Orden],ROWS($A$21:A33)),tblClientes[Orden],0)),"")</f>
        <v/>
      </c>
    </row>
    <row r="34" ht="22" customHeight="1">
      <c r="A34" s="56">
        <f>IFERROR(INDEX(tblClientes[Nombre],MATCH(SMALL(tblClientes[Orden],ROWS($A$21:A34)),tblClientes[Orden],0)),"")</f>
        <v/>
      </c>
      <c r="B34" s="57">
        <f>IFERROR(INDEX(tblClientes[Teléfono],MATCH(SMALL(tblClientes[Orden],ROWS($A$21:A34)),tblClientes[Orden],0)),"")</f>
        <v/>
      </c>
      <c r="C34" s="56">
        <f>IFERROR(INDEX(tblClientes[Vehículo],MATCH(SMALL(tblClientes[Orden],ROWS($A$21:A34)),tblClientes[Orden],0)),"")</f>
        <v/>
      </c>
      <c r="D34" s="58">
        <f>IFERROR(INDEX(tblClientes[Valor cuota],MATCH(SMALL(tblClientes[Orden],ROWS($A$21:A34)),tblClientes[Orden],0)),"")</f>
        <v/>
      </c>
      <c r="E34" s="56">
        <f>IFERROR(INDEX(tblClientes[Estado],MATCH(SMALL(tblClientes[Orden],ROWS($A$21:A34)),tblClientes[Orden],0)),"")</f>
        <v/>
      </c>
      <c r="F34" s="56">
        <f>IFERROR(INDEX(tblClientes[Cuándo],MATCH(SMALL(tblClientes[Orden],ROWS($A$21:A34)),tblClientes[Orden],0)),"")</f>
        <v/>
      </c>
    </row>
    <row r="35" ht="22" customHeight="1">
      <c r="A35" s="56">
        <f>IFERROR(INDEX(tblClientes[Nombre],MATCH(SMALL(tblClientes[Orden],ROWS($A$21:A35)),tblClientes[Orden],0)),"")</f>
        <v/>
      </c>
      <c r="B35" s="57">
        <f>IFERROR(INDEX(tblClientes[Teléfono],MATCH(SMALL(tblClientes[Orden],ROWS($A$21:A35)),tblClientes[Orden],0)),"")</f>
        <v/>
      </c>
      <c r="C35" s="56">
        <f>IFERROR(INDEX(tblClientes[Vehículo],MATCH(SMALL(tblClientes[Orden],ROWS($A$21:A35)),tblClientes[Orden],0)),"")</f>
        <v/>
      </c>
      <c r="D35" s="58">
        <f>IFERROR(INDEX(tblClientes[Valor cuota],MATCH(SMALL(tblClientes[Orden],ROWS($A$21:A35)),tblClientes[Orden],0)),"")</f>
        <v/>
      </c>
      <c r="E35" s="56">
        <f>IFERROR(INDEX(tblClientes[Estado],MATCH(SMALL(tblClientes[Orden],ROWS($A$21:A35)),tblClientes[Orden],0)),"")</f>
        <v/>
      </c>
      <c r="F35" s="56">
        <f>IFERROR(INDEX(tblClientes[Cuándo],MATCH(SMALL(tblClientes[Orden],ROWS($A$21:A35)),tblClientes[Orden],0)),"")</f>
        <v/>
      </c>
    </row>
    <row r="36" ht="22" customHeight="1">
      <c r="A36" s="56">
        <f>IFERROR(INDEX(tblClientes[Nombre],MATCH(SMALL(tblClientes[Orden],ROWS($A$21:A36)),tblClientes[Orden],0)),"")</f>
        <v/>
      </c>
      <c r="B36" s="57">
        <f>IFERROR(INDEX(tblClientes[Teléfono],MATCH(SMALL(tblClientes[Orden],ROWS($A$21:A36)),tblClientes[Orden],0)),"")</f>
        <v/>
      </c>
      <c r="C36" s="56">
        <f>IFERROR(INDEX(tblClientes[Vehículo],MATCH(SMALL(tblClientes[Orden],ROWS($A$21:A36)),tblClientes[Orden],0)),"")</f>
        <v/>
      </c>
      <c r="D36" s="58">
        <f>IFERROR(INDEX(tblClientes[Valor cuota],MATCH(SMALL(tblClientes[Orden],ROWS($A$21:A36)),tblClientes[Orden],0)),"")</f>
        <v/>
      </c>
      <c r="E36" s="56">
        <f>IFERROR(INDEX(tblClientes[Estado],MATCH(SMALL(tblClientes[Orden],ROWS($A$21:A36)),tblClientes[Orden],0)),"")</f>
        <v/>
      </c>
      <c r="F36" s="56">
        <f>IFERROR(INDEX(tblClientes[Cuándo],MATCH(SMALL(tblClientes[Orden],ROWS($A$21:A36)),tblClientes[Orden],0)),"")</f>
        <v/>
      </c>
    </row>
    <row r="37" ht="22" customHeight="1">
      <c r="A37" s="56">
        <f>IFERROR(INDEX(tblClientes[Nombre],MATCH(SMALL(tblClientes[Orden],ROWS($A$21:A37)),tblClientes[Orden],0)),"")</f>
        <v/>
      </c>
      <c r="B37" s="57">
        <f>IFERROR(INDEX(tblClientes[Teléfono],MATCH(SMALL(tblClientes[Orden],ROWS($A$21:A37)),tblClientes[Orden],0)),"")</f>
        <v/>
      </c>
      <c r="C37" s="56">
        <f>IFERROR(INDEX(tblClientes[Vehículo],MATCH(SMALL(tblClientes[Orden],ROWS($A$21:A37)),tblClientes[Orden],0)),"")</f>
        <v/>
      </c>
      <c r="D37" s="58">
        <f>IFERROR(INDEX(tblClientes[Valor cuota],MATCH(SMALL(tblClientes[Orden],ROWS($A$21:A37)),tblClientes[Orden],0)),"")</f>
        <v/>
      </c>
      <c r="E37" s="56">
        <f>IFERROR(INDEX(tblClientes[Estado],MATCH(SMALL(tblClientes[Orden],ROWS($A$21:A37)),tblClientes[Orden],0)),"")</f>
        <v/>
      </c>
      <c r="F37" s="56">
        <f>IFERROR(INDEX(tblClientes[Cuándo],MATCH(SMALL(tblClientes[Orden],ROWS($A$21:A37)),tblClientes[Orden],0)),"")</f>
        <v/>
      </c>
    </row>
    <row r="38" ht="22" customHeight="1">
      <c r="A38" s="56">
        <f>IFERROR(INDEX(tblClientes[Nombre],MATCH(SMALL(tblClientes[Orden],ROWS($A$21:A38)),tblClientes[Orden],0)),"")</f>
        <v/>
      </c>
      <c r="B38" s="57">
        <f>IFERROR(INDEX(tblClientes[Teléfono],MATCH(SMALL(tblClientes[Orden],ROWS($A$21:A38)),tblClientes[Orden],0)),"")</f>
        <v/>
      </c>
      <c r="C38" s="56">
        <f>IFERROR(INDEX(tblClientes[Vehículo],MATCH(SMALL(tblClientes[Orden],ROWS($A$21:A38)),tblClientes[Orden],0)),"")</f>
        <v/>
      </c>
      <c r="D38" s="58">
        <f>IFERROR(INDEX(tblClientes[Valor cuota],MATCH(SMALL(tblClientes[Orden],ROWS($A$21:A38)),tblClientes[Orden],0)),"")</f>
        <v/>
      </c>
      <c r="E38" s="56">
        <f>IFERROR(INDEX(tblClientes[Estado],MATCH(SMALL(tblClientes[Orden],ROWS($A$21:A38)),tblClientes[Orden],0)),"")</f>
        <v/>
      </c>
      <c r="F38" s="56">
        <f>IFERROR(INDEX(tblClientes[Cuándo],MATCH(SMALL(tblClientes[Orden],ROWS($A$21:A38)),tblClientes[Orden],0)),"")</f>
        <v/>
      </c>
    </row>
  </sheetData>
  <sheetProtection selectLockedCells="1" selectUnlockedCells="1" sheet="1" objects="0" insertRows="0" insertHyperlinks="1" autoFilter="0" scenarios="0" formatColumns="1" deleteColumns="0" insertColumns="0" pivotTables="0" deleteRows="0" formatCells="0" formatRows="1" sort="0"/>
  <mergeCells count="42">
    <mergeCell ref="A11:B11"/>
    <mergeCell ref="G11:H11"/>
    <mergeCell ref="I11:J11"/>
    <mergeCell ref="A14:B15"/>
    <mergeCell ref="G14:H15"/>
    <mergeCell ref="G8:H8"/>
    <mergeCell ref="E17:F17"/>
    <mergeCell ref="I14:J15"/>
    <mergeCell ref="E8:F8"/>
    <mergeCell ref="K14:L15"/>
    <mergeCell ref="G17:H17"/>
    <mergeCell ref="A2:L2"/>
    <mergeCell ref="K11:L11"/>
    <mergeCell ref="E13:F13"/>
    <mergeCell ref="G13:H13"/>
    <mergeCell ref="A9:B10"/>
    <mergeCell ref="G9:H10"/>
    <mergeCell ref="B6:D6"/>
    <mergeCell ref="I9:J10"/>
    <mergeCell ref="K9:L10"/>
    <mergeCell ref="A19:F19"/>
    <mergeCell ref="K8:L8"/>
    <mergeCell ref="C11:D11"/>
    <mergeCell ref="E6:L6"/>
    <mergeCell ref="E11:F11"/>
    <mergeCell ref="C14:D15"/>
    <mergeCell ref="I8:J8"/>
    <mergeCell ref="E14:F15"/>
    <mergeCell ref="A17:B17"/>
    <mergeCell ref="A8:B8"/>
    <mergeCell ref="C17:D17"/>
    <mergeCell ref="I17:J17"/>
    <mergeCell ref="C8:D8"/>
    <mergeCell ref="K17:L17"/>
    <mergeCell ref="H19:L19"/>
    <mergeCell ref="A1:L1"/>
    <mergeCell ref="A13:B13"/>
    <mergeCell ref="C13:D13"/>
    <mergeCell ref="I13:J13"/>
    <mergeCell ref="K13:L13"/>
    <mergeCell ref="C9:D10"/>
    <mergeCell ref="E9:F10"/>
  </mergeCells>
  <conditionalFormatting sqref="E21:E38">
    <cfRule type="expression" priority="1" dxfId="0" stopIfTrue="1">
      <formula>E21="Renovar ahora"</formula>
    </cfRule>
    <cfRule type="expression" priority="2" dxfId="1" stopIfTrue="1">
      <formula>E21="Crédito terminado"</formula>
    </cfRule>
    <cfRule type="expression" priority="3" dxfId="2" stopIfTrue="1">
      <formula>E21="Pronto"</formula>
    </cfRule>
    <cfRule type="expression" priority="4" dxfId="3" stopIfTrue="1">
      <formula>E21="Ofrecer renovación"</formula>
    </cfRule>
  </conditionalFormatting>
  <dataValidations count="1">
    <dataValidation sqref="B6" showDropDown="0" showInputMessage="1" showErrorMessage="1" allowBlank="1" errorTitle="Lista" error="Puedes elegir de la lista o escribir otro valor." promptTitle="Elige" prompt="Elige un cliente" type="list" errorStyle="warning">
      <formula1>=NombresClientes</formula1>
    </dataValidation>
  </dataValidations>
  <printOptions horizontalCentered="1"/>
  <pageMargins left="0.4" right="0.4" top="0.5" bottom="0.4" header="0.2" footer="0.2"/>
  <pageSetup orientation="landscape" paperSize="9" scale="100" fitToHeight="1" fitToWidth="1"/>
  <headerFooter>
    <oddHeader/>
    <oddFooter>&amp;LCartera Honda&amp;RPágina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C1C1C"/>
    <outlinePr summaryBelow="1" summaryRight="1"/>
    <pageSetUpPr fitToPage="1"/>
  </sheetPr>
  <dimension ref="A1:AJ54"/>
  <sheetViews>
    <sheetView showGridLines="0" view="normal" zoomScale="110" workbookViewId="0">
      <pane xSplit="3" ySplit="4" topLeftCell="D5" activePane="bottomRight" state="frozen"/>
      <selection pane="topRight" activeCell="B11" sqref="B11"/>
      <selection pane="bottomLeft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  <col width="18" customWidth="1" min="9" max="9"/>
    <col width="22" customWidth="1" min="10" max="10"/>
    <col width="28" customWidth="1" min="11" max="11"/>
    <col width="18" customWidth="1" min="12" max="12"/>
    <col width="14" customWidth="1" min="13" max="13"/>
    <col width="36" customWidth="1" min="14" max="14"/>
    <col width="24" customWidth="1" min="15" max="15"/>
    <col width="16" customWidth="1" min="16" max="16"/>
    <col width="16" customWidth="1" min="17" max="17"/>
    <col width="18" customWidth="1" min="18" max="18"/>
    <col width="16" customWidth="1" min="19" max="19"/>
    <col width="16" customWidth="1" min="20" max="20"/>
    <col width="15" customWidth="1" min="21" max="21"/>
    <col width="16" customWidth="1" min="22" max="22"/>
    <col width="16" customWidth="1" min="23" max="23"/>
    <col width="32" customWidth="1" min="24" max="24"/>
    <col width="16" customWidth="1" min="25" max="25"/>
    <col width="14" customWidth="1" min="26" max="26"/>
    <col width="16" customWidth="1" min="27" max="27"/>
    <col hidden="1" width="10" customWidth="1" min="28" max="28"/>
    <col hidden="1" width="10" customWidth="1" min="29" max="29"/>
    <col hidden="1" width="12" customWidth="1" min="30" max="30"/>
    <col hidden="1" width="12" customWidth="1" min="31" max="31"/>
    <col hidden="1" width="12" customWidth="1" min="32" max="32"/>
    <col hidden="1" width="14" customWidth="1" min="33" max="33"/>
    <col hidden="1" width="14" customWidth="1" min="34" max="34"/>
    <col hidden="1" width="12" customWidth="1" min="35" max="35"/>
    <col hidden="1" width="10" customWidth="1" min="36" max="36"/>
  </cols>
  <sheetData>
    <row r="1" ht="36" customHeight="1">
      <c r="A1" s="1" t="inlineStr">
        <is>
          <t>CLIENTES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2" customHeight="1">
      <c r="A2" s="3" t="inlineStr">
        <is>
          <t>Amarillo se escribe.  Gris no se toca.  La fila dorada es el siguiente cliente.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 ht="22" customHeight="1">
      <c r="A3" s="60" t="inlineStr">
        <is>
          <t>1 · Venta</t>
        </is>
      </c>
      <c r="B3" s="60" t="n"/>
      <c r="C3" s="60" t="n"/>
      <c r="D3" s="60" t="n"/>
      <c r="E3" s="60" t="n"/>
      <c r="F3" s="60" t="n"/>
      <c r="G3" s="60" t="n"/>
      <c r="H3" s="60" t="n"/>
      <c r="I3" s="60" t="n"/>
      <c r="J3" s="61" t="inlineStr">
        <is>
          <t>2 · Renovación</t>
        </is>
      </c>
      <c r="K3" s="61" t="n"/>
      <c r="L3" s="62" t="inlineStr">
        <is>
          <t>3 · Seguimiento</t>
        </is>
      </c>
      <c r="M3" s="62" t="n"/>
      <c r="N3" s="62" t="n"/>
      <c r="O3" s="63" t="inlineStr">
        <is>
          <t>4 · Montos</t>
        </is>
      </c>
      <c r="P3" s="63" t="n"/>
      <c r="Q3" s="63" t="n"/>
      <c r="R3" s="63" t="n"/>
      <c r="S3" s="63" t="n"/>
      <c r="T3" s="63" t="n"/>
      <c r="U3" s="63" t="n"/>
      <c r="V3" s="63" t="n"/>
      <c r="W3" s="64" t="inlineStr">
        <is>
          <t>5 · Persona</t>
        </is>
      </c>
      <c r="X3" s="64" t="n"/>
      <c r="Y3" s="64" t="n"/>
      <c r="Z3" s="65" t="inlineStr">
        <is>
          <t>6 · Checklist</t>
        </is>
      </c>
      <c r="AA3" s="65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t="34" customHeight="1">
      <c r="A4" s="66" t="inlineStr">
        <is>
          <t>Fecha compra</t>
        </is>
      </c>
      <c r="B4" s="66" t="inlineStr">
        <is>
          <t>Nombre</t>
        </is>
      </c>
      <c r="C4" s="66" t="inlineStr">
        <is>
          <t>Teléfono</t>
        </is>
      </c>
      <c r="D4" s="66" t="inlineStr">
        <is>
          <t>Vehículo</t>
        </is>
      </c>
      <c r="E4" s="66" t="inlineStr">
        <is>
          <t>Versión</t>
        </is>
      </c>
      <c r="F4" s="66" t="inlineStr">
        <is>
          <t>Forma de pago</t>
        </is>
      </c>
      <c r="G4" s="66" t="inlineStr">
        <is>
          <t>Plazo meses</t>
        </is>
      </c>
      <c r="H4" s="66" t="inlineStr">
        <is>
          <t>Valor cuota</t>
        </is>
      </c>
      <c r="I4" s="66" t="inlineStr">
        <is>
          <t>Valor vehículo</t>
        </is>
      </c>
      <c r="J4" s="67" t="inlineStr">
        <is>
          <t>Estado</t>
        </is>
      </c>
      <c r="K4" s="67" t="inlineStr">
        <is>
          <t>Cuándo</t>
        </is>
      </c>
      <c r="L4" s="68" t="inlineStr">
        <is>
          <t>Próximo contacto</t>
        </is>
      </c>
      <c r="M4" s="68" t="inlineStr">
        <is>
          <t>Contactado</t>
        </is>
      </c>
      <c r="N4" s="68" t="inlineStr">
        <is>
          <t>Nota</t>
        </is>
      </c>
      <c r="O4" s="69" t="inlineStr">
        <is>
          <t>Producto</t>
        </is>
      </c>
      <c r="P4" s="69" t="inlineStr">
        <is>
          <t>Color</t>
        </is>
      </c>
      <c r="Q4" s="69" t="inlineStr">
        <is>
          <t>Pie</t>
        </is>
      </c>
      <c r="R4" s="69" t="inlineStr">
        <is>
          <t>Valor financiado</t>
        </is>
      </c>
      <c r="S4" s="69" t="inlineStr">
        <is>
          <t>Documentación</t>
        </is>
      </c>
      <c r="T4" s="69" t="inlineStr">
        <is>
          <t>Valor total</t>
        </is>
      </c>
      <c r="U4" s="69" t="inlineStr">
        <is>
          <t>Porcentaje pie</t>
        </is>
      </c>
      <c r="V4" s="69" t="inlineStr">
        <is>
          <t>Fecha término</t>
        </is>
      </c>
      <c r="W4" s="70" t="inlineStr">
        <is>
          <t>RUT</t>
        </is>
      </c>
      <c r="X4" s="70" t="inlineStr">
        <is>
          <t>Correo</t>
        </is>
      </c>
      <c r="Y4" s="70" t="inlineStr">
        <is>
          <t>Cumpleaños</t>
        </is>
      </c>
      <c r="Z4" s="71" t="inlineStr">
        <is>
          <t>Test drive</t>
        </is>
      </c>
      <c r="AA4" s="71" t="inlineStr">
        <is>
          <t>Interés</t>
        </is>
      </c>
      <c r="AB4" s="66" t="inlineStr">
        <is>
          <t>Meses</t>
        </is>
      </c>
      <c r="AC4" s="66" t="inlineStr">
        <is>
          <t>Prioridad</t>
        </is>
      </c>
      <c r="AD4" s="66" t="inlineStr">
        <is>
          <t>Mes cumple</t>
        </is>
      </c>
      <c r="AE4" s="66" t="inlineStr">
        <is>
          <t>Día cumple</t>
        </is>
      </c>
      <c r="AF4" s="66" t="inlineStr">
        <is>
          <t>Orden</t>
        </is>
      </c>
      <c r="AG4" s="66" t="inlineStr">
        <is>
          <t>Orden cumple</t>
        </is>
      </c>
      <c r="AH4" s="66" t="inlineStr">
        <is>
          <t>Orden oferta</t>
        </is>
      </c>
      <c r="AI4" s="66" t="inlineStr">
        <is>
          <t>Plazo oferta</t>
        </is>
      </c>
      <c r="AJ4" s="66" t="inlineStr">
        <is>
          <t>Fila</t>
        </is>
      </c>
    </row>
    <row r="5" ht="22" customHeight="1">
      <c r="A5" s="72" t="n">
        <v>45665</v>
      </c>
      <c r="B5" s="73" t="inlineStr">
        <is>
          <t>Claudia Jamasmiye</t>
        </is>
      </c>
      <c r="C5" s="74" t="inlineStr">
        <is>
          <t>56964352866</t>
        </is>
      </c>
      <c r="D5" s="74" t="inlineStr">
        <is>
          <t>WR-V</t>
        </is>
      </c>
      <c r="E5" s="74" t="inlineStr">
        <is>
          <t>EX SMART</t>
        </is>
      </c>
      <c r="F5" s="75" t="inlineStr">
        <is>
          <t>Crédito</t>
        </is>
      </c>
      <c r="G5" s="76" t="n">
        <v>36</v>
      </c>
      <c r="H5" s="77" t="n">
        <v>340085</v>
      </c>
      <c r="I5" s="77" t="n">
        <v>15490000</v>
      </c>
      <c r="J5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5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5" s="72" t="n"/>
      <c r="M5" s="75" t="n"/>
      <c r="N5" s="73" t="inlineStr">
        <is>
          <t>Nino Rota</t>
        </is>
      </c>
      <c r="O5" s="74" t="inlineStr">
        <is>
          <t>Compra Para</t>
        </is>
      </c>
      <c r="P5" s="74" t="inlineStr">
        <is>
          <t>Blanco</t>
        </is>
      </c>
      <c r="Q5" s="77" t="n">
        <v>8591622</v>
      </c>
      <c r="R5" s="77" t="n">
        <v>8682320</v>
      </c>
      <c r="S5" s="77" t="n"/>
      <c r="T5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5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5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5" s="74" t="inlineStr">
        <is>
          <t>7.076.129-7</t>
        </is>
      </c>
      <c r="X5" s="73" t="inlineStr">
        <is>
          <t>cljamasmiya@gmail.com</t>
        </is>
      </c>
      <c r="Y5" s="72" t="n">
        <v>24360</v>
      </c>
      <c r="Z5" s="75" t="n"/>
      <c r="AA5" s="75" t="n"/>
      <c r="AB5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5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5" s="82">
        <f>IF(OR(tblClientes[[#This Row],[Nombre]]="",tblClientes[[#This Row],[Cumpleaños]]=""),"",MONTH(tblClientes[[#This Row],[Cumpleaños]]))</f>
        <v/>
      </c>
      <c r="AE5" s="82">
        <f>IF(OR(tblClientes[[#This Row],[Nombre]]="",tblClientes[[#This Row],[Cumpleaños]]=""),"",DAY(tblClientes[[#This Row],[Cumpleaños]]))</f>
        <v/>
      </c>
      <c r="AF5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5" s="83">
        <f>IF(OR(tblClientes[[#This Row],[Nombre]]="",tblClientes[[#This Row],[Mes cumple]]=""),"",IF(tblClientes[[#This Row],[Mes cumple]]=MONTH(TODAY()),tblClientes[[#This Row],[Día cumple]]+ROW()/100000,""))</f>
        <v/>
      </c>
      <c r="AH5" s="84">
        <f>IF(OR(tblClientes[[#This Row],[Nombre]]="",tblClientes[[#This Row],[Vehículo]]&lt;&gt;VehiculoOferta,tblClientes[[#This Row],[Fecha compra]]=""),"",1000000-tblClientes[[#This Row],[Fecha compra]])</f>
        <v/>
      </c>
      <c r="AI5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5" s="82">
        <f>IF(tblClientes[[#This Row],[Nombre]]="","",ROW())</f>
        <v/>
      </c>
    </row>
    <row r="6" ht="22" customHeight="1">
      <c r="A6" s="72" t="n">
        <v>45668</v>
      </c>
      <c r="B6" s="73" t="inlineStr">
        <is>
          <t>Virginia Arriagada Mena</t>
        </is>
      </c>
      <c r="C6" s="74" t="inlineStr">
        <is>
          <t>5694328008</t>
        </is>
      </c>
      <c r="D6" s="74" t="inlineStr">
        <is>
          <t>City</t>
        </is>
      </c>
      <c r="E6" s="74" t="inlineStr">
        <is>
          <t>HB EXL</t>
        </is>
      </c>
      <c r="F6" s="75" t="inlineStr">
        <is>
          <t>Contado</t>
        </is>
      </c>
      <c r="G6" s="76" t="n"/>
      <c r="H6" s="77" t="n"/>
      <c r="I6" s="77" t="n">
        <v>18990000</v>
      </c>
      <c r="J6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6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6" s="72" t="n"/>
      <c r="M6" s="75" t="n"/>
      <c r="N6" s="73" t="n"/>
      <c r="O6" s="74" t="inlineStr">
        <is>
          <t>Contado</t>
        </is>
      </c>
      <c r="P6" s="74" t="inlineStr">
        <is>
          <t>Grafito</t>
        </is>
      </c>
      <c r="Q6" s="77" t="n">
        <v>18990000</v>
      </c>
      <c r="R6" s="77" t="n"/>
      <c r="S6" s="77" t="n"/>
      <c r="T6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6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6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6" s="74" t="inlineStr">
        <is>
          <t>12.039.162-3</t>
        </is>
      </c>
      <c r="X6" s="73" t="inlineStr">
        <is>
          <t>arriaga_2002@hotmail.com</t>
        </is>
      </c>
      <c r="Y6" s="72" t="n">
        <v>27924</v>
      </c>
      <c r="Z6" s="75" t="n"/>
      <c r="AA6" s="75" t="n"/>
      <c r="AB6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6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6" s="82">
        <f>IF(OR(tblClientes[[#This Row],[Nombre]]="",tblClientes[[#This Row],[Cumpleaños]]=""),"",MONTH(tblClientes[[#This Row],[Cumpleaños]]))</f>
        <v/>
      </c>
      <c r="AE6" s="82">
        <f>IF(OR(tblClientes[[#This Row],[Nombre]]="",tblClientes[[#This Row],[Cumpleaños]]=""),"",DAY(tblClientes[[#This Row],[Cumpleaños]]))</f>
        <v/>
      </c>
      <c r="AF6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6" s="83">
        <f>IF(OR(tblClientes[[#This Row],[Nombre]]="",tblClientes[[#This Row],[Mes cumple]]=""),"",IF(tblClientes[[#This Row],[Mes cumple]]=MONTH(TODAY()),tblClientes[[#This Row],[Día cumple]]+ROW()/100000,""))</f>
        <v/>
      </c>
      <c r="AH6" s="84">
        <f>IF(OR(tblClientes[[#This Row],[Nombre]]="",tblClientes[[#This Row],[Vehículo]]&lt;&gt;VehiculoOferta,tblClientes[[#This Row],[Fecha compra]]=""),"",1000000-tblClientes[[#This Row],[Fecha compra]])</f>
        <v/>
      </c>
      <c r="AI6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6" s="82">
        <f>IF(tblClientes[[#This Row],[Nombre]]="","",ROW())</f>
        <v/>
      </c>
    </row>
    <row r="7" ht="22" customHeight="1">
      <c r="A7" s="72" t="n">
        <v>45671</v>
      </c>
      <c r="B7" s="73" t="inlineStr">
        <is>
          <t>Elias Peña y Lillo</t>
        </is>
      </c>
      <c r="C7" s="74" t="inlineStr">
        <is>
          <t>56958518126</t>
        </is>
      </c>
      <c r="D7" s="74" t="inlineStr">
        <is>
          <t>WR-V</t>
        </is>
      </c>
      <c r="E7" s="74" t="inlineStr">
        <is>
          <t>EXL</t>
        </is>
      </c>
      <c r="F7" s="75" t="inlineStr">
        <is>
          <t>Crédito</t>
        </is>
      </c>
      <c r="G7" s="76" t="n">
        <v>24</v>
      </c>
      <c r="H7" s="77" t="n">
        <v>283341</v>
      </c>
      <c r="I7" s="77" t="n">
        <v>16490000</v>
      </c>
      <c r="J7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7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7" s="72" t="n"/>
      <c r="M7" s="75" t="n"/>
      <c r="N7" s="73" t="n"/>
      <c r="O7" s="74" t="inlineStr">
        <is>
          <t>Compra Inteligente</t>
        </is>
      </c>
      <c r="P7" s="74" t="inlineStr">
        <is>
          <t>Plata</t>
        </is>
      </c>
      <c r="Q7" s="77" t="n">
        <v>6596000</v>
      </c>
      <c r="R7" s="77" t="n">
        <v>9894000</v>
      </c>
      <c r="S7" s="77" t="n">
        <v>680036</v>
      </c>
      <c r="T7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7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7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7" s="74" t="inlineStr">
        <is>
          <t>12.220.836-2</t>
        </is>
      </c>
      <c r="X7" s="73" t="inlineStr">
        <is>
          <t>lorenaahernandez1972@gmail.com</t>
        </is>
      </c>
      <c r="Y7" s="72" t="n">
        <v>26600</v>
      </c>
      <c r="Z7" s="75" t="n"/>
      <c r="AA7" s="75" t="n"/>
      <c r="AB7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7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7" s="82">
        <f>IF(OR(tblClientes[[#This Row],[Nombre]]="",tblClientes[[#This Row],[Cumpleaños]]=""),"",MONTH(tblClientes[[#This Row],[Cumpleaños]]))</f>
        <v/>
      </c>
      <c r="AE7" s="82">
        <f>IF(OR(tblClientes[[#This Row],[Nombre]]="",tblClientes[[#This Row],[Cumpleaños]]=""),"",DAY(tblClientes[[#This Row],[Cumpleaños]]))</f>
        <v/>
      </c>
      <c r="AF7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7" s="83">
        <f>IF(OR(tblClientes[[#This Row],[Nombre]]="",tblClientes[[#This Row],[Mes cumple]]=""),"",IF(tblClientes[[#This Row],[Mes cumple]]=MONTH(TODAY()),tblClientes[[#This Row],[Día cumple]]+ROW()/100000,""))</f>
        <v/>
      </c>
      <c r="AH7" s="84">
        <f>IF(OR(tblClientes[[#This Row],[Nombre]]="",tblClientes[[#This Row],[Vehículo]]&lt;&gt;VehiculoOferta,tblClientes[[#This Row],[Fecha compra]]=""),"",1000000-tblClientes[[#This Row],[Fecha compra]])</f>
        <v/>
      </c>
      <c r="AI7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7" s="82">
        <f>IF(tblClientes[[#This Row],[Nombre]]="","",ROW())</f>
        <v/>
      </c>
    </row>
    <row r="8" ht="22" customHeight="1">
      <c r="A8" s="72" t="n">
        <v>45674</v>
      </c>
      <c r="B8" s="73" t="inlineStr">
        <is>
          <t>Evelyn Rios Fuentes</t>
        </is>
      </c>
      <c r="C8" s="74" t="inlineStr">
        <is>
          <t>56988987573</t>
        </is>
      </c>
      <c r="D8" s="74" t="inlineStr">
        <is>
          <t>WR-V</t>
        </is>
      </c>
      <c r="E8" s="74" t="inlineStr">
        <is>
          <t>EX</t>
        </is>
      </c>
      <c r="F8" s="75" t="inlineStr">
        <is>
          <t>Crédito</t>
        </is>
      </c>
      <c r="G8" s="76" t="n">
        <v>36</v>
      </c>
      <c r="H8" s="77" t="n">
        <v>318735</v>
      </c>
      <c r="I8" s="77" t="n">
        <v>15490000</v>
      </c>
      <c r="J8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8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8" s="72" t="n"/>
      <c r="M8" s="75" t="n"/>
      <c r="N8" s="73" t="n"/>
      <c r="O8" s="74" t="inlineStr">
        <is>
          <t>Crédito convencional</t>
        </is>
      </c>
      <c r="P8" s="74" t="inlineStr">
        <is>
          <t>Plata</t>
        </is>
      </c>
      <c r="Q8" s="77" t="n">
        <v>8248294</v>
      </c>
      <c r="R8" s="77" t="n">
        <v>7620000</v>
      </c>
      <c r="S8" s="77" t="n">
        <v>720873</v>
      </c>
      <c r="T8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8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8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8" s="74" t="inlineStr">
        <is>
          <t>15.345.174-5</t>
        </is>
      </c>
      <c r="X8" s="73" t="inlineStr">
        <is>
          <t>evelyn.rios.f@gmail.com</t>
        </is>
      </c>
      <c r="Y8" s="72" t="n">
        <v>30251</v>
      </c>
      <c r="Z8" s="75" t="n"/>
      <c r="AA8" s="75" t="n"/>
      <c r="AB8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8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8" s="82">
        <f>IF(OR(tblClientes[[#This Row],[Nombre]]="",tblClientes[[#This Row],[Cumpleaños]]=""),"",MONTH(tblClientes[[#This Row],[Cumpleaños]]))</f>
        <v/>
      </c>
      <c r="AE8" s="82">
        <f>IF(OR(tblClientes[[#This Row],[Nombre]]="",tblClientes[[#This Row],[Cumpleaños]]=""),"",DAY(tblClientes[[#This Row],[Cumpleaños]]))</f>
        <v/>
      </c>
      <c r="AF8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8" s="83">
        <f>IF(OR(tblClientes[[#This Row],[Nombre]]="",tblClientes[[#This Row],[Mes cumple]]=""),"",IF(tblClientes[[#This Row],[Mes cumple]]=MONTH(TODAY()),tblClientes[[#This Row],[Día cumple]]+ROW()/100000,""))</f>
        <v/>
      </c>
      <c r="AH8" s="84">
        <f>IF(OR(tblClientes[[#This Row],[Nombre]]="",tblClientes[[#This Row],[Vehículo]]&lt;&gt;VehiculoOferta,tblClientes[[#This Row],[Fecha compra]]=""),"",1000000-tblClientes[[#This Row],[Fecha compra]])</f>
        <v/>
      </c>
      <c r="AI8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8" s="82">
        <f>IF(tblClientes[[#This Row],[Nombre]]="","",ROW())</f>
        <v/>
      </c>
    </row>
    <row r="9" ht="22" customHeight="1">
      <c r="A9" s="72" t="n">
        <v>45677</v>
      </c>
      <c r="B9" s="73" t="inlineStr">
        <is>
          <t>Paulina Castro Poblete</t>
        </is>
      </c>
      <c r="C9" s="74" t="inlineStr">
        <is>
          <t>56976679332</t>
        </is>
      </c>
      <c r="D9" s="74" t="inlineStr">
        <is>
          <t>HR-V</t>
        </is>
      </c>
      <c r="E9" s="74" t="inlineStr">
        <is>
          <t>EX</t>
        </is>
      </c>
      <c r="F9" s="75" t="inlineStr">
        <is>
          <t>Contado</t>
        </is>
      </c>
      <c r="G9" s="76" t="n"/>
      <c r="H9" s="77" t="n"/>
      <c r="I9" s="77" t="n">
        <v>23990000</v>
      </c>
      <c r="J9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9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9" s="72" t="n"/>
      <c r="M9" s="75" t="n"/>
      <c r="N9" s="73" t="n"/>
      <c r="O9" s="74" t="inlineStr">
        <is>
          <t>Contado</t>
        </is>
      </c>
      <c r="P9" s="74" t="inlineStr">
        <is>
          <t>Plata</t>
        </is>
      </c>
      <c r="Q9" s="77" t="n"/>
      <c r="R9" s="77" t="n"/>
      <c r="S9" s="77" t="n">
        <v>1063911</v>
      </c>
      <c r="T9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9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9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9" s="74" t="inlineStr">
        <is>
          <t>16.121.231-8</t>
        </is>
      </c>
      <c r="X9" s="73" t="inlineStr">
        <is>
          <t>paulinacastrop@gmail.com</t>
        </is>
      </c>
      <c r="Y9" s="72" t="n">
        <v>31135</v>
      </c>
      <c r="Z9" s="75" t="n"/>
      <c r="AA9" s="75" t="n"/>
      <c r="AB9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9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9" s="82">
        <f>IF(OR(tblClientes[[#This Row],[Nombre]]="",tblClientes[[#This Row],[Cumpleaños]]=""),"",MONTH(tblClientes[[#This Row],[Cumpleaños]]))</f>
        <v/>
      </c>
      <c r="AE9" s="82">
        <f>IF(OR(tblClientes[[#This Row],[Nombre]]="",tblClientes[[#This Row],[Cumpleaños]]=""),"",DAY(tblClientes[[#This Row],[Cumpleaños]]))</f>
        <v/>
      </c>
      <c r="AF9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9" s="83">
        <f>IF(OR(tblClientes[[#This Row],[Nombre]]="",tblClientes[[#This Row],[Mes cumple]]=""),"",IF(tblClientes[[#This Row],[Mes cumple]]=MONTH(TODAY()),tblClientes[[#This Row],[Día cumple]]+ROW()/100000,""))</f>
        <v/>
      </c>
      <c r="AH9" s="84">
        <f>IF(OR(tblClientes[[#This Row],[Nombre]]="",tblClientes[[#This Row],[Vehículo]]&lt;&gt;VehiculoOferta,tblClientes[[#This Row],[Fecha compra]]=""),"",1000000-tblClientes[[#This Row],[Fecha compra]])</f>
        <v/>
      </c>
      <c r="AI9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9" s="82">
        <f>IF(tblClientes[[#This Row],[Nombre]]="","",ROW())</f>
        <v/>
      </c>
    </row>
    <row r="10" ht="22" customHeight="1">
      <c r="A10" s="72" t="n">
        <v>45685</v>
      </c>
      <c r="B10" s="73" t="inlineStr">
        <is>
          <t>Eric Contreras Pernau</t>
        </is>
      </c>
      <c r="C10" s="74" t="inlineStr">
        <is>
          <t>56965529573</t>
        </is>
      </c>
      <c r="D10" s="74" t="inlineStr">
        <is>
          <t>City</t>
        </is>
      </c>
      <c r="E10" s="74" t="inlineStr">
        <is>
          <t>HB EXL</t>
        </is>
      </c>
      <c r="F10" s="75" t="inlineStr">
        <is>
          <t>Crédito</t>
        </is>
      </c>
      <c r="G10" s="76" t="n">
        <v>24</v>
      </c>
      <c r="H10" s="77" t="n">
        <v>634665</v>
      </c>
      <c r="I10" s="77" t="n">
        <v>18990000</v>
      </c>
      <c r="J10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0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0" s="72" t="n"/>
      <c r="M10" s="75" t="n"/>
      <c r="N10" s="73" t="n"/>
      <c r="O10" s="74" t="inlineStr">
        <is>
          <t>Crédito convencional</t>
        </is>
      </c>
      <c r="P10" s="74" t="inlineStr">
        <is>
          <t>Plata</t>
        </is>
      </c>
      <c r="Q10" s="77" t="n">
        <v>7596000</v>
      </c>
      <c r="R10" s="77" t="n">
        <v>11394000</v>
      </c>
      <c r="S10" s="77" t="n">
        <v>726878</v>
      </c>
      <c r="T10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0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0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0" s="74" t="inlineStr">
        <is>
          <t>20.137.295-6</t>
        </is>
      </c>
      <c r="X10" s="73" t="inlineStr">
        <is>
          <t>e.e.contreras.p@gmail.com</t>
        </is>
      </c>
      <c r="Y10" s="72" t="n">
        <v>36381</v>
      </c>
      <c r="Z10" s="75" t="n"/>
      <c r="AA10" s="75" t="n"/>
      <c r="AB10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0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0" s="82">
        <f>IF(OR(tblClientes[[#This Row],[Nombre]]="",tblClientes[[#This Row],[Cumpleaños]]=""),"",MONTH(tblClientes[[#This Row],[Cumpleaños]]))</f>
        <v/>
      </c>
      <c r="AE10" s="82">
        <f>IF(OR(tblClientes[[#This Row],[Nombre]]="",tblClientes[[#This Row],[Cumpleaños]]=""),"",DAY(tblClientes[[#This Row],[Cumpleaños]]))</f>
        <v/>
      </c>
      <c r="AF10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0" s="83">
        <f>IF(OR(tblClientes[[#This Row],[Nombre]]="",tblClientes[[#This Row],[Mes cumple]]=""),"",IF(tblClientes[[#This Row],[Mes cumple]]=MONTH(TODAY()),tblClientes[[#This Row],[Día cumple]]+ROW()/100000,""))</f>
        <v/>
      </c>
      <c r="AH10" s="84">
        <f>IF(OR(tblClientes[[#This Row],[Nombre]]="",tblClientes[[#This Row],[Vehículo]]&lt;&gt;VehiculoOferta,tblClientes[[#This Row],[Fecha compra]]=""),"",1000000-tblClientes[[#This Row],[Fecha compra]])</f>
        <v/>
      </c>
      <c r="AI10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0" s="82">
        <f>IF(tblClientes[[#This Row],[Nombre]]="","",ROW())</f>
        <v/>
      </c>
    </row>
    <row r="11" ht="22" customHeight="1">
      <c r="A11" s="72" t="n"/>
      <c r="B11" s="73" t="n"/>
      <c r="C11" s="74" t="n"/>
      <c r="D11" s="74" t="n"/>
      <c r="E11" s="74" t="n"/>
      <c r="F11" s="75" t="n"/>
      <c r="G11" s="76" t="n"/>
      <c r="H11" s="77" t="n"/>
      <c r="I11" s="77" t="n"/>
      <c r="J11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1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1" s="72" t="n"/>
      <c r="M11" s="75" t="n"/>
      <c r="N11" s="73" t="n"/>
      <c r="O11" s="74" t="n"/>
      <c r="P11" s="74" t="n"/>
      <c r="Q11" s="77" t="n"/>
      <c r="R11" s="77" t="n"/>
      <c r="S11" s="77" t="n"/>
      <c r="T11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1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1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1" s="74" t="n"/>
      <c r="X11" s="73" t="n"/>
      <c r="Y11" s="72" t="n"/>
      <c r="Z11" s="75" t="n"/>
      <c r="AA11" s="75" t="n"/>
      <c r="AB11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1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1" s="82">
        <f>IF(OR(tblClientes[[#This Row],[Nombre]]="",tblClientes[[#This Row],[Cumpleaños]]=""),"",MONTH(tblClientes[[#This Row],[Cumpleaños]]))</f>
        <v/>
      </c>
      <c r="AE11" s="82">
        <f>IF(OR(tblClientes[[#This Row],[Nombre]]="",tblClientes[[#This Row],[Cumpleaños]]=""),"",DAY(tblClientes[[#This Row],[Cumpleaños]]))</f>
        <v/>
      </c>
      <c r="AF11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1" s="83">
        <f>IF(OR(tblClientes[[#This Row],[Nombre]]="",tblClientes[[#This Row],[Mes cumple]]=""),"",IF(tblClientes[[#This Row],[Mes cumple]]=MONTH(TODAY()),tblClientes[[#This Row],[Día cumple]]+ROW()/100000,""))</f>
        <v/>
      </c>
      <c r="AH11" s="84">
        <f>IF(OR(tblClientes[[#This Row],[Nombre]]="",tblClientes[[#This Row],[Vehículo]]&lt;&gt;VehiculoOferta,tblClientes[[#This Row],[Fecha compra]]=""),"",1000000-tblClientes[[#This Row],[Fecha compra]])</f>
        <v/>
      </c>
      <c r="AI11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1" s="82">
        <f>IF(tblClientes[[#This Row],[Nombre]]="","",ROW())</f>
        <v/>
      </c>
    </row>
    <row r="12" ht="22" customHeight="1">
      <c r="A12" s="72" t="n"/>
      <c r="B12" s="73" t="n"/>
      <c r="C12" s="74" t="n"/>
      <c r="D12" s="74" t="n"/>
      <c r="E12" s="74" t="n"/>
      <c r="F12" s="75" t="n"/>
      <c r="G12" s="76" t="n"/>
      <c r="H12" s="77" t="n"/>
      <c r="I12" s="77" t="n"/>
      <c r="J12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2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2" s="72" t="n"/>
      <c r="M12" s="75" t="n"/>
      <c r="N12" s="73" t="n"/>
      <c r="O12" s="74" t="n"/>
      <c r="P12" s="74" t="n"/>
      <c r="Q12" s="77" t="n"/>
      <c r="R12" s="77" t="n"/>
      <c r="S12" s="77" t="n"/>
      <c r="T12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2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2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2" s="74" t="n"/>
      <c r="X12" s="73" t="n"/>
      <c r="Y12" s="72" t="n"/>
      <c r="Z12" s="75" t="n"/>
      <c r="AA12" s="75" t="n"/>
      <c r="AB12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2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2" s="82">
        <f>IF(OR(tblClientes[[#This Row],[Nombre]]="",tblClientes[[#This Row],[Cumpleaños]]=""),"",MONTH(tblClientes[[#This Row],[Cumpleaños]]))</f>
        <v/>
      </c>
      <c r="AE12" s="82">
        <f>IF(OR(tblClientes[[#This Row],[Nombre]]="",tblClientes[[#This Row],[Cumpleaños]]=""),"",DAY(tblClientes[[#This Row],[Cumpleaños]]))</f>
        <v/>
      </c>
      <c r="AF12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2" s="83">
        <f>IF(OR(tblClientes[[#This Row],[Nombre]]="",tblClientes[[#This Row],[Mes cumple]]=""),"",IF(tblClientes[[#This Row],[Mes cumple]]=MONTH(TODAY()),tblClientes[[#This Row],[Día cumple]]+ROW()/100000,""))</f>
        <v/>
      </c>
      <c r="AH12" s="84">
        <f>IF(OR(tblClientes[[#This Row],[Nombre]]="",tblClientes[[#This Row],[Vehículo]]&lt;&gt;VehiculoOferta,tblClientes[[#This Row],[Fecha compra]]=""),"",1000000-tblClientes[[#This Row],[Fecha compra]])</f>
        <v/>
      </c>
      <c r="AI12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2" s="82">
        <f>IF(tblClientes[[#This Row],[Nombre]]="","",ROW())</f>
        <v/>
      </c>
    </row>
    <row r="13" ht="22" customHeight="1">
      <c r="A13" s="72" t="n"/>
      <c r="B13" s="73" t="n"/>
      <c r="C13" s="74" t="n"/>
      <c r="D13" s="74" t="n"/>
      <c r="E13" s="74" t="n"/>
      <c r="F13" s="75" t="n"/>
      <c r="G13" s="76" t="n"/>
      <c r="H13" s="77" t="n"/>
      <c r="I13" s="77" t="n"/>
      <c r="J13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3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3" s="72" t="n"/>
      <c r="M13" s="75" t="n"/>
      <c r="N13" s="73" t="n"/>
      <c r="O13" s="74" t="n"/>
      <c r="P13" s="74" t="n"/>
      <c r="Q13" s="77" t="n"/>
      <c r="R13" s="77" t="n"/>
      <c r="S13" s="77" t="n"/>
      <c r="T13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3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3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3" s="74" t="n"/>
      <c r="X13" s="73" t="n"/>
      <c r="Y13" s="72" t="n"/>
      <c r="Z13" s="75" t="n"/>
      <c r="AA13" s="75" t="n"/>
      <c r="AB13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3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3" s="82">
        <f>IF(OR(tblClientes[[#This Row],[Nombre]]="",tblClientes[[#This Row],[Cumpleaños]]=""),"",MONTH(tblClientes[[#This Row],[Cumpleaños]]))</f>
        <v/>
      </c>
      <c r="AE13" s="82">
        <f>IF(OR(tblClientes[[#This Row],[Nombre]]="",tblClientes[[#This Row],[Cumpleaños]]=""),"",DAY(tblClientes[[#This Row],[Cumpleaños]]))</f>
        <v/>
      </c>
      <c r="AF13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3" s="83">
        <f>IF(OR(tblClientes[[#This Row],[Nombre]]="",tblClientes[[#This Row],[Mes cumple]]=""),"",IF(tblClientes[[#This Row],[Mes cumple]]=MONTH(TODAY()),tblClientes[[#This Row],[Día cumple]]+ROW()/100000,""))</f>
        <v/>
      </c>
      <c r="AH13" s="84">
        <f>IF(OR(tblClientes[[#This Row],[Nombre]]="",tblClientes[[#This Row],[Vehículo]]&lt;&gt;VehiculoOferta,tblClientes[[#This Row],[Fecha compra]]=""),"",1000000-tblClientes[[#This Row],[Fecha compra]])</f>
        <v/>
      </c>
      <c r="AI13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3" s="82">
        <f>IF(tblClientes[[#This Row],[Nombre]]="","",ROW())</f>
        <v/>
      </c>
    </row>
    <row r="14" ht="22" customHeight="1">
      <c r="A14" s="72" t="n"/>
      <c r="B14" s="73" t="n"/>
      <c r="C14" s="74" t="n"/>
      <c r="D14" s="74" t="n"/>
      <c r="E14" s="74" t="n"/>
      <c r="F14" s="75" t="n"/>
      <c r="G14" s="76" t="n"/>
      <c r="H14" s="77" t="n"/>
      <c r="I14" s="77" t="n"/>
      <c r="J14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4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4" s="72" t="n"/>
      <c r="M14" s="75" t="n"/>
      <c r="N14" s="73" t="n"/>
      <c r="O14" s="74" t="n"/>
      <c r="P14" s="74" t="n"/>
      <c r="Q14" s="77" t="n"/>
      <c r="R14" s="77" t="n"/>
      <c r="S14" s="77" t="n"/>
      <c r="T14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4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4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4" s="74" t="n"/>
      <c r="X14" s="73" t="n"/>
      <c r="Y14" s="72" t="n"/>
      <c r="Z14" s="75" t="n"/>
      <c r="AA14" s="75" t="n"/>
      <c r="AB14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4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4" s="82">
        <f>IF(OR(tblClientes[[#This Row],[Nombre]]="",tblClientes[[#This Row],[Cumpleaños]]=""),"",MONTH(tblClientes[[#This Row],[Cumpleaños]]))</f>
        <v/>
      </c>
      <c r="AE14" s="82">
        <f>IF(OR(tblClientes[[#This Row],[Nombre]]="",tblClientes[[#This Row],[Cumpleaños]]=""),"",DAY(tblClientes[[#This Row],[Cumpleaños]]))</f>
        <v/>
      </c>
      <c r="AF14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4" s="83">
        <f>IF(OR(tblClientes[[#This Row],[Nombre]]="",tblClientes[[#This Row],[Mes cumple]]=""),"",IF(tblClientes[[#This Row],[Mes cumple]]=MONTH(TODAY()),tblClientes[[#This Row],[Día cumple]]+ROW()/100000,""))</f>
        <v/>
      </c>
      <c r="AH14" s="84">
        <f>IF(OR(tblClientes[[#This Row],[Nombre]]="",tblClientes[[#This Row],[Vehículo]]&lt;&gt;VehiculoOferta,tblClientes[[#This Row],[Fecha compra]]=""),"",1000000-tblClientes[[#This Row],[Fecha compra]])</f>
        <v/>
      </c>
      <c r="AI14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4" s="82">
        <f>IF(tblClientes[[#This Row],[Nombre]]="","",ROW())</f>
        <v/>
      </c>
    </row>
    <row r="15" ht="22" customHeight="1">
      <c r="A15" s="72" t="n"/>
      <c r="B15" s="73" t="n"/>
      <c r="C15" s="74" t="n"/>
      <c r="D15" s="74" t="n"/>
      <c r="E15" s="74" t="n"/>
      <c r="F15" s="75" t="n"/>
      <c r="G15" s="76" t="n"/>
      <c r="H15" s="77" t="n"/>
      <c r="I15" s="77" t="n"/>
      <c r="J15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5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5" s="72" t="n"/>
      <c r="M15" s="75" t="n"/>
      <c r="N15" s="73" t="n"/>
      <c r="O15" s="74" t="n"/>
      <c r="P15" s="74" t="n"/>
      <c r="Q15" s="77" t="n"/>
      <c r="R15" s="77" t="n"/>
      <c r="S15" s="77" t="n"/>
      <c r="T15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5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5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5" s="74" t="n"/>
      <c r="X15" s="73" t="n"/>
      <c r="Y15" s="72" t="n"/>
      <c r="Z15" s="75" t="n"/>
      <c r="AA15" s="75" t="n"/>
      <c r="AB15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5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5" s="82">
        <f>IF(OR(tblClientes[[#This Row],[Nombre]]="",tblClientes[[#This Row],[Cumpleaños]]=""),"",MONTH(tblClientes[[#This Row],[Cumpleaños]]))</f>
        <v/>
      </c>
      <c r="AE15" s="82">
        <f>IF(OR(tblClientes[[#This Row],[Nombre]]="",tblClientes[[#This Row],[Cumpleaños]]=""),"",DAY(tblClientes[[#This Row],[Cumpleaños]]))</f>
        <v/>
      </c>
      <c r="AF15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5" s="83">
        <f>IF(OR(tblClientes[[#This Row],[Nombre]]="",tblClientes[[#This Row],[Mes cumple]]=""),"",IF(tblClientes[[#This Row],[Mes cumple]]=MONTH(TODAY()),tblClientes[[#This Row],[Día cumple]]+ROW()/100000,""))</f>
        <v/>
      </c>
      <c r="AH15" s="84">
        <f>IF(OR(tblClientes[[#This Row],[Nombre]]="",tblClientes[[#This Row],[Vehículo]]&lt;&gt;VehiculoOferta,tblClientes[[#This Row],[Fecha compra]]=""),"",1000000-tblClientes[[#This Row],[Fecha compra]])</f>
        <v/>
      </c>
      <c r="AI15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5" s="82">
        <f>IF(tblClientes[[#This Row],[Nombre]]="","",ROW())</f>
        <v/>
      </c>
    </row>
    <row r="16" ht="22" customHeight="1">
      <c r="A16" s="72" t="n"/>
      <c r="B16" s="73" t="n"/>
      <c r="C16" s="74" t="n"/>
      <c r="D16" s="74" t="n"/>
      <c r="E16" s="74" t="n"/>
      <c r="F16" s="75" t="n"/>
      <c r="G16" s="76" t="n"/>
      <c r="H16" s="77" t="n"/>
      <c r="I16" s="77" t="n"/>
      <c r="J16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6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6" s="72" t="n"/>
      <c r="M16" s="75" t="n"/>
      <c r="N16" s="73" t="n"/>
      <c r="O16" s="74" t="n"/>
      <c r="P16" s="74" t="n"/>
      <c r="Q16" s="77" t="n"/>
      <c r="R16" s="77" t="n"/>
      <c r="S16" s="77" t="n"/>
      <c r="T16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6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6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6" s="74" t="n"/>
      <c r="X16" s="73" t="n"/>
      <c r="Y16" s="72" t="n"/>
      <c r="Z16" s="75" t="n"/>
      <c r="AA16" s="75" t="n"/>
      <c r="AB16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6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6" s="82">
        <f>IF(OR(tblClientes[[#This Row],[Nombre]]="",tblClientes[[#This Row],[Cumpleaños]]=""),"",MONTH(tblClientes[[#This Row],[Cumpleaños]]))</f>
        <v/>
      </c>
      <c r="AE16" s="82">
        <f>IF(OR(tblClientes[[#This Row],[Nombre]]="",tblClientes[[#This Row],[Cumpleaños]]=""),"",DAY(tblClientes[[#This Row],[Cumpleaños]]))</f>
        <v/>
      </c>
      <c r="AF16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6" s="83">
        <f>IF(OR(tblClientes[[#This Row],[Nombre]]="",tblClientes[[#This Row],[Mes cumple]]=""),"",IF(tblClientes[[#This Row],[Mes cumple]]=MONTH(TODAY()),tblClientes[[#This Row],[Día cumple]]+ROW()/100000,""))</f>
        <v/>
      </c>
      <c r="AH16" s="84">
        <f>IF(OR(tblClientes[[#This Row],[Nombre]]="",tblClientes[[#This Row],[Vehículo]]&lt;&gt;VehiculoOferta,tblClientes[[#This Row],[Fecha compra]]=""),"",1000000-tblClientes[[#This Row],[Fecha compra]])</f>
        <v/>
      </c>
      <c r="AI16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6" s="82">
        <f>IF(tblClientes[[#This Row],[Nombre]]="","",ROW())</f>
        <v/>
      </c>
    </row>
    <row r="17" ht="22" customHeight="1">
      <c r="A17" s="72" t="n"/>
      <c r="B17" s="73" t="n"/>
      <c r="C17" s="74" t="n"/>
      <c r="D17" s="74" t="n"/>
      <c r="E17" s="74" t="n"/>
      <c r="F17" s="75" t="n"/>
      <c r="G17" s="76" t="n"/>
      <c r="H17" s="77" t="n"/>
      <c r="I17" s="77" t="n"/>
      <c r="J17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7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7" s="72" t="n"/>
      <c r="M17" s="75" t="n"/>
      <c r="N17" s="73" t="n"/>
      <c r="O17" s="74" t="n"/>
      <c r="P17" s="74" t="n"/>
      <c r="Q17" s="77" t="n"/>
      <c r="R17" s="77" t="n"/>
      <c r="S17" s="77" t="n"/>
      <c r="T17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7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7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7" s="74" t="n"/>
      <c r="X17" s="73" t="n"/>
      <c r="Y17" s="72" t="n"/>
      <c r="Z17" s="75" t="n"/>
      <c r="AA17" s="75" t="n"/>
      <c r="AB17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7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7" s="82">
        <f>IF(OR(tblClientes[[#This Row],[Nombre]]="",tblClientes[[#This Row],[Cumpleaños]]=""),"",MONTH(tblClientes[[#This Row],[Cumpleaños]]))</f>
        <v/>
      </c>
      <c r="AE17" s="82">
        <f>IF(OR(tblClientes[[#This Row],[Nombre]]="",tblClientes[[#This Row],[Cumpleaños]]=""),"",DAY(tblClientes[[#This Row],[Cumpleaños]]))</f>
        <v/>
      </c>
      <c r="AF17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7" s="83">
        <f>IF(OR(tblClientes[[#This Row],[Nombre]]="",tblClientes[[#This Row],[Mes cumple]]=""),"",IF(tblClientes[[#This Row],[Mes cumple]]=MONTH(TODAY()),tblClientes[[#This Row],[Día cumple]]+ROW()/100000,""))</f>
        <v/>
      </c>
      <c r="AH17" s="84">
        <f>IF(OR(tblClientes[[#This Row],[Nombre]]="",tblClientes[[#This Row],[Vehículo]]&lt;&gt;VehiculoOferta,tblClientes[[#This Row],[Fecha compra]]=""),"",1000000-tblClientes[[#This Row],[Fecha compra]])</f>
        <v/>
      </c>
      <c r="AI17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7" s="82">
        <f>IF(tblClientes[[#This Row],[Nombre]]="","",ROW())</f>
        <v/>
      </c>
    </row>
    <row r="18" ht="22" customHeight="1">
      <c r="A18" s="72" t="n"/>
      <c r="B18" s="73" t="n"/>
      <c r="C18" s="74" t="n"/>
      <c r="D18" s="74" t="n"/>
      <c r="E18" s="74" t="n"/>
      <c r="F18" s="75" t="n"/>
      <c r="G18" s="76" t="n"/>
      <c r="H18" s="77" t="n"/>
      <c r="I18" s="77" t="n"/>
      <c r="J18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8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8" s="72" t="n"/>
      <c r="M18" s="75" t="n"/>
      <c r="N18" s="73" t="n"/>
      <c r="O18" s="74" t="n"/>
      <c r="P18" s="74" t="n"/>
      <c r="Q18" s="77" t="n"/>
      <c r="R18" s="77" t="n"/>
      <c r="S18" s="77" t="n"/>
      <c r="T18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8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8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8" s="74" t="n"/>
      <c r="X18" s="73" t="n"/>
      <c r="Y18" s="72" t="n"/>
      <c r="Z18" s="75" t="n"/>
      <c r="AA18" s="75" t="n"/>
      <c r="AB18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8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8" s="82">
        <f>IF(OR(tblClientes[[#This Row],[Nombre]]="",tblClientes[[#This Row],[Cumpleaños]]=""),"",MONTH(tblClientes[[#This Row],[Cumpleaños]]))</f>
        <v/>
      </c>
      <c r="AE18" s="82">
        <f>IF(OR(tblClientes[[#This Row],[Nombre]]="",tblClientes[[#This Row],[Cumpleaños]]=""),"",DAY(tblClientes[[#This Row],[Cumpleaños]]))</f>
        <v/>
      </c>
      <c r="AF18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8" s="83">
        <f>IF(OR(tblClientes[[#This Row],[Nombre]]="",tblClientes[[#This Row],[Mes cumple]]=""),"",IF(tblClientes[[#This Row],[Mes cumple]]=MONTH(TODAY()),tblClientes[[#This Row],[Día cumple]]+ROW()/100000,""))</f>
        <v/>
      </c>
      <c r="AH18" s="84">
        <f>IF(OR(tblClientes[[#This Row],[Nombre]]="",tblClientes[[#This Row],[Vehículo]]&lt;&gt;VehiculoOferta,tblClientes[[#This Row],[Fecha compra]]=""),"",1000000-tblClientes[[#This Row],[Fecha compra]])</f>
        <v/>
      </c>
      <c r="AI18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8" s="82">
        <f>IF(tblClientes[[#This Row],[Nombre]]="","",ROW())</f>
        <v/>
      </c>
    </row>
    <row r="19" ht="22" customHeight="1">
      <c r="A19" s="72" t="n"/>
      <c r="B19" s="73" t="n"/>
      <c r="C19" s="74" t="n"/>
      <c r="D19" s="74" t="n"/>
      <c r="E19" s="74" t="n"/>
      <c r="F19" s="75" t="n"/>
      <c r="G19" s="76" t="n"/>
      <c r="H19" s="77" t="n"/>
      <c r="I19" s="77" t="n"/>
      <c r="J19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19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19" s="72" t="n"/>
      <c r="M19" s="75" t="n"/>
      <c r="N19" s="73" t="n"/>
      <c r="O19" s="74" t="n"/>
      <c r="P19" s="74" t="n"/>
      <c r="Q19" s="77" t="n"/>
      <c r="R19" s="77" t="n"/>
      <c r="S19" s="77" t="n"/>
      <c r="T19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19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19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19" s="74" t="n"/>
      <c r="X19" s="73" t="n"/>
      <c r="Y19" s="72" t="n"/>
      <c r="Z19" s="75" t="n"/>
      <c r="AA19" s="75" t="n"/>
      <c r="AB19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19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19" s="82">
        <f>IF(OR(tblClientes[[#This Row],[Nombre]]="",tblClientes[[#This Row],[Cumpleaños]]=""),"",MONTH(tblClientes[[#This Row],[Cumpleaños]]))</f>
        <v/>
      </c>
      <c r="AE19" s="82">
        <f>IF(OR(tblClientes[[#This Row],[Nombre]]="",tblClientes[[#This Row],[Cumpleaños]]=""),"",DAY(tblClientes[[#This Row],[Cumpleaños]]))</f>
        <v/>
      </c>
      <c r="AF19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19" s="83">
        <f>IF(OR(tblClientes[[#This Row],[Nombre]]="",tblClientes[[#This Row],[Mes cumple]]=""),"",IF(tblClientes[[#This Row],[Mes cumple]]=MONTH(TODAY()),tblClientes[[#This Row],[Día cumple]]+ROW()/100000,""))</f>
        <v/>
      </c>
      <c r="AH19" s="84">
        <f>IF(OR(tblClientes[[#This Row],[Nombre]]="",tblClientes[[#This Row],[Vehículo]]&lt;&gt;VehiculoOferta,tblClientes[[#This Row],[Fecha compra]]=""),"",1000000-tblClientes[[#This Row],[Fecha compra]])</f>
        <v/>
      </c>
      <c r="AI19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19" s="82">
        <f>IF(tblClientes[[#This Row],[Nombre]]="","",ROW())</f>
        <v/>
      </c>
    </row>
    <row r="20" ht="22" customHeight="1">
      <c r="A20" s="72" t="n"/>
      <c r="B20" s="73" t="n"/>
      <c r="C20" s="74" t="n"/>
      <c r="D20" s="74" t="n"/>
      <c r="E20" s="74" t="n"/>
      <c r="F20" s="75" t="n"/>
      <c r="G20" s="76" t="n"/>
      <c r="H20" s="77" t="n"/>
      <c r="I20" s="77" t="n"/>
      <c r="J20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0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0" s="72" t="n"/>
      <c r="M20" s="75" t="n"/>
      <c r="N20" s="73" t="n"/>
      <c r="O20" s="74" t="n"/>
      <c r="P20" s="74" t="n"/>
      <c r="Q20" s="77" t="n"/>
      <c r="R20" s="77" t="n"/>
      <c r="S20" s="77" t="n"/>
      <c r="T20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0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0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0" s="74" t="n"/>
      <c r="X20" s="73" t="n"/>
      <c r="Y20" s="72" t="n"/>
      <c r="Z20" s="75" t="n"/>
      <c r="AA20" s="75" t="n"/>
      <c r="AB20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0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0" s="82">
        <f>IF(OR(tblClientes[[#This Row],[Nombre]]="",tblClientes[[#This Row],[Cumpleaños]]=""),"",MONTH(tblClientes[[#This Row],[Cumpleaños]]))</f>
        <v/>
      </c>
      <c r="AE20" s="82">
        <f>IF(OR(tblClientes[[#This Row],[Nombre]]="",tblClientes[[#This Row],[Cumpleaños]]=""),"",DAY(tblClientes[[#This Row],[Cumpleaños]]))</f>
        <v/>
      </c>
      <c r="AF20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0" s="83">
        <f>IF(OR(tblClientes[[#This Row],[Nombre]]="",tblClientes[[#This Row],[Mes cumple]]=""),"",IF(tblClientes[[#This Row],[Mes cumple]]=MONTH(TODAY()),tblClientes[[#This Row],[Día cumple]]+ROW()/100000,""))</f>
        <v/>
      </c>
      <c r="AH20" s="84">
        <f>IF(OR(tblClientes[[#This Row],[Nombre]]="",tblClientes[[#This Row],[Vehículo]]&lt;&gt;VehiculoOferta,tblClientes[[#This Row],[Fecha compra]]=""),"",1000000-tblClientes[[#This Row],[Fecha compra]])</f>
        <v/>
      </c>
      <c r="AI20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0" s="82">
        <f>IF(tblClientes[[#This Row],[Nombre]]="","",ROW())</f>
        <v/>
      </c>
    </row>
    <row r="21" ht="22" customHeight="1">
      <c r="A21" s="72" t="n"/>
      <c r="B21" s="73" t="n"/>
      <c r="C21" s="74" t="n"/>
      <c r="D21" s="74" t="n"/>
      <c r="E21" s="74" t="n"/>
      <c r="F21" s="75" t="n"/>
      <c r="G21" s="76" t="n"/>
      <c r="H21" s="77" t="n"/>
      <c r="I21" s="77" t="n"/>
      <c r="J21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1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1" s="72" t="n"/>
      <c r="M21" s="75" t="n"/>
      <c r="N21" s="73" t="n"/>
      <c r="O21" s="74" t="n"/>
      <c r="P21" s="74" t="n"/>
      <c r="Q21" s="77" t="n"/>
      <c r="R21" s="77" t="n"/>
      <c r="S21" s="77" t="n"/>
      <c r="T21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1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1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1" s="74" t="n"/>
      <c r="X21" s="73" t="n"/>
      <c r="Y21" s="72" t="n"/>
      <c r="Z21" s="75" t="n"/>
      <c r="AA21" s="75" t="n"/>
      <c r="AB21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1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1" s="82">
        <f>IF(OR(tblClientes[[#This Row],[Nombre]]="",tblClientes[[#This Row],[Cumpleaños]]=""),"",MONTH(tblClientes[[#This Row],[Cumpleaños]]))</f>
        <v/>
      </c>
      <c r="AE21" s="82">
        <f>IF(OR(tblClientes[[#This Row],[Nombre]]="",tblClientes[[#This Row],[Cumpleaños]]=""),"",DAY(tblClientes[[#This Row],[Cumpleaños]]))</f>
        <v/>
      </c>
      <c r="AF21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1" s="83">
        <f>IF(OR(tblClientes[[#This Row],[Nombre]]="",tblClientes[[#This Row],[Mes cumple]]=""),"",IF(tblClientes[[#This Row],[Mes cumple]]=MONTH(TODAY()),tblClientes[[#This Row],[Día cumple]]+ROW()/100000,""))</f>
        <v/>
      </c>
      <c r="AH21" s="84">
        <f>IF(OR(tblClientes[[#This Row],[Nombre]]="",tblClientes[[#This Row],[Vehículo]]&lt;&gt;VehiculoOferta,tblClientes[[#This Row],[Fecha compra]]=""),"",1000000-tblClientes[[#This Row],[Fecha compra]])</f>
        <v/>
      </c>
      <c r="AI21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1" s="82">
        <f>IF(tblClientes[[#This Row],[Nombre]]="","",ROW())</f>
        <v/>
      </c>
    </row>
    <row r="22" ht="22" customHeight="1">
      <c r="A22" s="72" t="n"/>
      <c r="B22" s="73" t="n"/>
      <c r="C22" s="74" t="n"/>
      <c r="D22" s="74" t="n"/>
      <c r="E22" s="74" t="n"/>
      <c r="F22" s="75" t="n"/>
      <c r="G22" s="76" t="n"/>
      <c r="H22" s="77" t="n"/>
      <c r="I22" s="77" t="n"/>
      <c r="J22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2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2" s="72" t="n"/>
      <c r="M22" s="75" t="n"/>
      <c r="N22" s="73" t="n"/>
      <c r="O22" s="74" t="n"/>
      <c r="P22" s="74" t="n"/>
      <c r="Q22" s="77" t="n"/>
      <c r="R22" s="77" t="n"/>
      <c r="S22" s="77" t="n"/>
      <c r="T22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2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2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2" s="74" t="n"/>
      <c r="X22" s="73" t="n"/>
      <c r="Y22" s="72" t="n"/>
      <c r="Z22" s="75" t="n"/>
      <c r="AA22" s="75" t="n"/>
      <c r="AB22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2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2" s="82">
        <f>IF(OR(tblClientes[[#This Row],[Nombre]]="",tblClientes[[#This Row],[Cumpleaños]]=""),"",MONTH(tblClientes[[#This Row],[Cumpleaños]]))</f>
        <v/>
      </c>
      <c r="AE22" s="82">
        <f>IF(OR(tblClientes[[#This Row],[Nombre]]="",tblClientes[[#This Row],[Cumpleaños]]=""),"",DAY(tblClientes[[#This Row],[Cumpleaños]]))</f>
        <v/>
      </c>
      <c r="AF22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2" s="83">
        <f>IF(OR(tblClientes[[#This Row],[Nombre]]="",tblClientes[[#This Row],[Mes cumple]]=""),"",IF(tblClientes[[#This Row],[Mes cumple]]=MONTH(TODAY()),tblClientes[[#This Row],[Día cumple]]+ROW()/100000,""))</f>
        <v/>
      </c>
      <c r="AH22" s="84">
        <f>IF(OR(tblClientes[[#This Row],[Nombre]]="",tblClientes[[#This Row],[Vehículo]]&lt;&gt;VehiculoOferta,tblClientes[[#This Row],[Fecha compra]]=""),"",1000000-tblClientes[[#This Row],[Fecha compra]])</f>
        <v/>
      </c>
      <c r="AI22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2" s="82">
        <f>IF(tblClientes[[#This Row],[Nombre]]="","",ROW())</f>
        <v/>
      </c>
    </row>
    <row r="23" ht="22" customHeight="1">
      <c r="A23" s="72" t="n"/>
      <c r="B23" s="73" t="n"/>
      <c r="C23" s="74" t="n"/>
      <c r="D23" s="74" t="n"/>
      <c r="E23" s="74" t="n"/>
      <c r="F23" s="75" t="n"/>
      <c r="G23" s="76" t="n"/>
      <c r="H23" s="77" t="n"/>
      <c r="I23" s="77" t="n"/>
      <c r="J23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3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3" s="72" t="n"/>
      <c r="M23" s="75" t="n"/>
      <c r="N23" s="73" t="n"/>
      <c r="O23" s="74" t="n"/>
      <c r="P23" s="74" t="n"/>
      <c r="Q23" s="77" t="n"/>
      <c r="R23" s="77" t="n"/>
      <c r="S23" s="77" t="n"/>
      <c r="T23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3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3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3" s="74" t="n"/>
      <c r="X23" s="73" t="n"/>
      <c r="Y23" s="72" t="n"/>
      <c r="Z23" s="75" t="n"/>
      <c r="AA23" s="75" t="n"/>
      <c r="AB23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3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3" s="82">
        <f>IF(OR(tblClientes[[#This Row],[Nombre]]="",tblClientes[[#This Row],[Cumpleaños]]=""),"",MONTH(tblClientes[[#This Row],[Cumpleaños]]))</f>
        <v/>
      </c>
      <c r="AE23" s="82">
        <f>IF(OR(tblClientes[[#This Row],[Nombre]]="",tblClientes[[#This Row],[Cumpleaños]]=""),"",DAY(tblClientes[[#This Row],[Cumpleaños]]))</f>
        <v/>
      </c>
      <c r="AF23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3" s="83">
        <f>IF(OR(tblClientes[[#This Row],[Nombre]]="",tblClientes[[#This Row],[Mes cumple]]=""),"",IF(tblClientes[[#This Row],[Mes cumple]]=MONTH(TODAY()),tblClientes[[#This Row],[Día cumple]]+ROW()/100000,""))</f>
        <v/>
      </c>
      <c r="AH23" s="84">
        <f>IF(OR(tblClientes[[#This Row],[Nombre]]="",tblClientes[[#This Row],[Vehículo]]&lt;&gt;VehiculoOferta,tblClientes[[#This Row],[Fecha compra]]=""),"",1000000-tblClientes[[#This Row],[Fecha compra]])</f>
        <v/>
      </c>
      <c r="AI23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3" s="82">
        <f>IF(tblClientes[[#This Row],[Nombre]]="","",ROW())</f>
        <v/>
      </c>
    </row>
    <row r="24" ht="22" customHeight="1">
      <c r="A24" s="72" t="n"/>
      <c r="B24" s="73" t="n"/>
      <c r="C24" s="74" t="n"/>
      <c r="D24" s="74" t="n"/>
      <c r="E24" s="74" t="n"/>
      <c r="F24" s="75" t="n"/>
      <c r="G24" s="76" t="n"/>
      <c r="H24" s="77" t="n"/>
      <c r="I24" s="77" t="n"/>
      <c r="J24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4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4" s="72" t="n"/>
      <c r="M24" s="75" t="n"/>
      <c r="N24" s="73" t="n"/>
      <c r="O24" s="74" t="n"/>
      <c r="P24" s="74" t="n"/>
      <c r="Q24" s="77" t="n"/>
      <c r="R24" s="77" t="n"/>
      <c r="S24" s="77" t="n"/>
      <c r="T24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4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4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4" s="74" t="n"/>
      <c r="X24" s="73" t="n"/>
      <c r="Y24" s="72" t="n"/>
      <c r="Z24" s="75" t="n"/>
      <c r="AA24" s="75" t="n"/>
      <c r="AB24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4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4" s="82">
        <f>IF(OR(tblClientes[[#This Row],[Nombre]]="",tblClientes[[#This Row],[Cumpleaños]]=""),"",MONTH(tblClientes[[#This Row],[Cumpleaños]]))</f>
        <v/>
      </c>
      <c r="AE24" s="82">
        <f>IF(OR(tblClientes[[#This Row],[Nombre]]="",tblClientes[[#This Row],[Cumpleaños]]=""),"",DAY(tblClientes[[#This Row],[Cumpleaños]]))</f>
        <v/>
      </c>
      <c r="AF24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4" s="83">
        <f>IF(OR(tblClientes[[#This Row],[Nombre]]="",tblClientes[[#This Row],[Mes cumple]]=""),"",IF(tblClientes[[#This Row],[Mes cumple]]=MONTH(TODAY()),tblClientes[[#This Row],[Día cumple]]+ROW()/100000,""))</f>
        <v/>
      </c>
      <c r="AH24" s="84">
        <f>IF(OR(tblClientes[[#This Row],[Nombre]]="",tblClientes[[#This Row],[Vehículo]]&lt;&gt;VehiculoOferta,tblClientes[[#This Row],[Fecha compra]]=""),"",1000000-tblClientes[[#This Row],[Fecha compra]])</f>
        <v/>
      </c>
      <c r="AI24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4" s="82">
        <f>IF(tblClientes[[#This Row],[Nombre]]="","",ROW())</f>
        <v/>
      </c>
    </row>
    <row r="25" ht="22" customHeight="1">
      <c r="A25" s="72" t="n"/>
      <c r="B25" s="73" t="n"/>
      <c r="C25" s="74" t="n"/>
      <c r="D25" s="74" t="n"/>
      <c r="E25" s="74" t="n"/>
      <c r="F25" s="75" t="n"/>
      <c r="G25" s="76" t="n"/>
      <c r="H25" s="77" t="n"/>
      <c r="I25" s="77" t="n"/>
      <c r="J25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5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5" s="72" t="n"/>
      <c r="M25" s="75" t="n"/>
      <c r="N25" s="73" t="n"/>
      <c r="O25" s="74" t="n"/>
      <c r="P25" s="74" t="n"/>
      <c r="Q25" s="77" t="n"/>
      <c r="R25" s="77" t="n"/>
      <c r="S25" s="77" t="n"/>
      <c r="T25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5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5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5" s="74" t="n"/>
      <c r="X25" s="73" t="n"/>
      <c r="Y25" s="72" t="n"/>
      <c r="Z25" s="75" t="n"/>
      <c r="AA25" s="75" t="n"/>
      <c r="AB25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5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5" s="82">
        <f>IF(OR(tblClientes[[#This Row],[Nombre]]="",tblClientes[[#This Row],[Cumpleaños]]=""),"",MONTH(tblClientes[[#This Row],[Cumpleaños]]))</f>
        <v/>
      </c>
      <c r="AE25" s="82">
        <f>IF(OR(tblClientes[[#This Row],[Nombre]]="",tblClientes[[#This Row],[Cumpleaños]]=""),"",DAY(tblClientes[[#This Row],[Cumpleaños]]))</f>
        <v/>
      </c>
      <c r="AF25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5" s="83">
        <f>IF(OR(tblClientes[[#This Row],[Nombre]]="",tblClientes[[#This Row],[Mes cumple]]=""),"",IF(tblClientes[[#This Row],[Mes cumple]]=MONTH(TODAY()),tblClientes[[#This Row],[Día cumple]]+ROW()/100000,""))</f>
        <v/>
      </c>
      <c r="AH25" s="84">
        <f>IF(OR(tblClientes[[#This Row],[Nombre]]="",tblClientes[[#This Row],[Vehículo]]&lt;&gt;VehiculoOferta,tblClientes[[#This Row],[Fecha compra]]=""),"",1000000-tblClientes[[#This Row],[Fecha compra]])</f>
        <v/>
      </c>
      <c r="AI25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5" s="82">
        <f>IF(tblClientes[[#This Row],[Nombre]]="","",ROW())</f>
        <v/>
      </c>
    </row>
    <row r="26" ht="22" customHeight="1">
      <c r="A26" s="72" t="n"/>
      <c r="B26" s="73" t="n"/>
      <c r="C26" s="74" t="n"/>
      <c r="D26" s="74" t="n"/>
      <c r="E26" s="74" t="n"/>
      <c r="F26" s="75" t="n"/>
      <c r="G26" s="76" t="n"/>
      <c r="H26" s="77" t="n"/>
      <c r="I26" s="77" t="n"/>
      <c r="J26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6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6" s="72" t="n"/>
      <c r="M26" s="75" t="n"/>
      <c r="N26" s="73" t="n"/>
      <c r="O26" s="74" t="n"/>
      <c r="P26" s="74" t="n"/>
      <c r="Q26" s="77" t="n"/>
      <c r="R26" s="77" t="n"/>
      <c r="S26" s="77" t="n"/>
      <c r="T26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6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6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6" s="74" t="n"/>
      <c r="X26" s="73" t="n"/>
      <c r="Y26" s="72" t="n"/>
      <c r="Z26" s="75" t="n"/>
      <c r="AA26" s="75" t="n"/>
      <c r="AB26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6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6" s="82">
        <f>IF(OR(tblClientes[[#This Row],[Nombre]]="",tblClientes[[#This Row],[Cumpleaños]]=""),"",MONTH(tblClientes[[#This Row],[Cumpleaños]]))</f>
        <v/>
      </c>
      <c r="AE26" s="82">
        <f>IF(OR(tblClientes[[#This Row],[Nombre]]="",tblClientes[[#This Row],[Cumpleaños]]=""),"",DAY(tblClientes[[#This Row],[Cumpleaños]]))</f>
        <v/>
      </c>
      <c r="AF26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6" s="83">
        <f>IF(OR(tblClientes[[#This Row],[Nombre]]="",tblClientes[[#This Row],[Mes cumple]]=""),"",IF(tblClientes[[#This Row],[Mes cumple]]=MONTH(TODAY()),tblClientes[[#This Row],[Día cumple]]+ROW()/100000,""))</f>
        <v/>
      </c>
      <c r="AH26" s="84">
        <f>IF(OR(tblClientes[[#This Row],[Nombre]]="",tblClientes[[#This Row],[Vehículo]]&lt;&gt;VehiculoOferta,tblClientes[[#This Row],[Fecha compra]]=""),"",1000000-tblClientes[[#This Row],[Fecha compra]])</f>
        <v/>
      </c>
      <c r="AI26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6" s="82">
        <f>IF(tblClientes[[#This Row],[Nombre]]="","",ROW())</f>
        <v/>
      </c>
    </row>
    <row r="27" ht="22" customHeight="1">
      <c r="A27" s="72" t="n"/>
      <c r="B27" s="73" t="n"/>
      <c r="C27" s="74" t="n"/>
      <c r="D27" s="74" t="n"/>
      <c r="E27" s="74" t="n"/>
      <c r="F27" s="75" t="n"/>
      <c r="G27" s="76" t="n"/>
      <c r="H27" s="77" t="n"/>
      <c r="I27" s="77" t="n"/>
      <c r="J27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7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7" s="72" t="n"/>
      <c r="M27" s="75" t="n"/>
      <c r="N27" s="73" t="n"/>
      <c r="O27" s="74" t="n"/>
      <c r="P27" s="74" t="n"/>
      <c r="Q27" s="77" t="n"/>
      <c r="R27" s="77" t="n"/>
      <c r="S27" s="77" t="n"/>
      <c r="T27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7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7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7" s="74" t="n"/>
      <c r="X27" s="73" t="n"/>
      <c r="Y27" s="72" t="n"/>
      <c r="Z27" s="75" t="n"/>
      <c r="AA27" s="75" t="n"/>
      <c r="AB27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7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7" s="82">
        <f>IF(OR(tblClientes[[#This Row],[Nombre]]="",tblClientes[[#This Row],[Cumpleaños]]=""),"",MONTH(tblClientes[[#This Row],[Cumpleaños]]))</f>
        <v/>
      </c>
      <c r="AE27" s="82">
        <f>IF(OR(tblClientes[[#This Row],[Nombre]]="",tblClientes[[#This Row],[Cumpleaños]]=""),"",DAY(tblClientes[[#This Row],[Cumpleaños]]))</f>
        <v/>
      </c>
      <c r="AF27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7" s="83">
        <f>IF(OR(tblClientes[[#This Row],[Nombre]]="",tblClientes[[#This Row],[Mes cumple]]=""),"",IF(tblClientes[[#This Row],[Mes cumple]]=MONTH(TODAY()),tblClientes[[#This Row],[Día cumple]]+ROW()/100000,""))</f>
        <v/>
      </c>
      <c r="AH27" s="84">
        <f>IF(OR(tblClientes[[#This Row],[Nombre]]="",tblClientes[[#This Row],[Vehículo]]&lt;&gt;VehiculoOferta,tblClientes[[#This Row],[Fecha compra]]=""),"",1000000-tblClientes[[#This Row],[Fecha compra]])</f>
        <v/>
      </c>
      <c r="AI27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7" s="82">
        <f>IF(tblClientes[[#This Row],[Nombre]]="","",ROW())</f>
        <v/>
      </c>
    </row>
    <row r="28" ht="22" customHeight="1">
      <c r="A28" s="72" t="n"/>
      <c r="B28" s="73" t="n"/>
      <c r="C28" s="74" t="n"/>
      <c r="D28" s="74" t="n"/>
      <c r="E28" s="74" t="n"/>
      <c r="F28" s="75" t="n"/>
      <c r="G28" s="76" t="n"/>
      <c r="H28" s="77" t="n"/>
      <c r="I28" s="77" t="n"/>
      <c r="J28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8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8" s="72" t="n"/>
      <c r="M28" s="75" t="n"/>
      <c r="N28" s="73" t="n"/>
      <c r="O28" s="74" t="n"/>
      <c r="P28" s="74" t="n"/>
      <c r="Q28" s="77" t="n"/>
      <c r="R28" s="77" t="n"/>
      <c r="S28" s="77" t="n"/>
      <c r="T28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8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8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8" s="74" t="n"/>
      <c r="X28" s="73" t="n"/>
      <c r="Y28" s="72" t="n"/>
      <c r="Z28" s="75" t="n"/>
      <c r="AA28" s="75" t="n"/>
      <c r="AB28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8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8" s="82">
        <f>IF(OR(tblClientes[[#This Row],[Nombre]]="",tblClientes[[#This Row],[Cumpleaños]]=""),"",MONTH(tblClientes[[#This Row],[Cumpleaños]]))</f>
        <v/>
      </c>
      <c r="AE28" s="82">
        <f>IF(OR(tblClientes[[#This Row],[Nombre]]="",tblClientes[[#This Row],[Cumpleaños]]=""),"",DAY(tblClientes[[#This Row],[Cumpleaños]]))</f>
        <v/>
      </c>
      <c r="AF28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8" s="83">
        <f>IF(OR(tblClientes[[#This Row],[Nombre]]="",tblClientes[[#This Row],[Mes cumple]]=""),"",IF(tblClientes[[#This Row],[Mes cumple]]=MONTH(TODAY()),tblClientes[[#This Row],[Día cumple]]+ROW()/100000,""))</f>
        <v/>
      </c>
      <c r="AH28" s="84">
        <f>IF(OR(tblClientes[[#This Row],[Nombre]]="",tblClientes[[#This Row],[Vehículo]]&lt;&gt;VehiculoOferta,tblClientes[[#This Row],[Fecha compra]]=""),"",1000000-tblClientes[[#This Row],[Fecha compra]])</f>
        <v/>
      </c>
      <c r="AI28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8" s="82">
        <f>IF(tblClientes[[#This Row],[Nombre]]="","",ROW())</f>
        <v/>
      </c>
    </row>
    <row r="29" ht="22" customHeight="1">
      <c r="A29" s="72" t="n"/>
      <c r="B29" s="73" t="n"/>
      <c r="C29" s="74" t="n"/>
      <c r="D29" s="74" t="n"/>
      <c r="E29" s="74" t="n"/>
      <c r="F29" s="75" t="n"/>
      <c r="G29" s="76" t="n"/>
      <c r="H29" s="77" t="n"/>
      <c r="I29" s="77" t="n"/>
      <c r="J29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29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29" s="72" t="n"/>
      <c r="M29" s="75" t="n"/>
      <c r="N29" s="73" t="n"/>
      <c r="O29" s="74" t="n"/>
      <c r="P29" s="74" t="n"/>
      <c r="Q29" s="77" t="n"/>
      <c r="R29" s="77" t="n"/>
      <c r="S29" s="77" t="n"/>
      <c r="T29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29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29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29" s="74" t="n"/>
      <c r="X29" s="73" t="n"/>
      <c r="Y29" s="72" t="n"/>
      <c r="Z29" s="75" t="n"/>
      <c r="AA29" s="75" t="n"/>
      <c r="AB29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29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29" s="82">
        <f>IF(OR(tblClientes[[#This Row],[Nombre]]="",tblClientes[[#This Row],[Cumpleaños]]=""),"",MONTH(tblClientes[[#This Row],[Cumpleaños]]))</f>
        <v/>
      </c>
      <c r="AE29" s="82">
        <f>IF(OR(tblClientes[[#This Row],[Nombre]]="",tblClientes[[#This Row],[Cumpleaños]]=""),"",DAY(tblClientes[[#This Row],[Cumpleaños]]))</f>
        <v/>
      </c>
      <c r="AF29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29" s="83">
        <f>IF(OR(tblClientes[[#This Row],[Nombre]]="",tblClientes[[#This Row],[Mes cumple]]=""),"",IF(tblClientes[[#This Row],[Mes cumple]]=MONTH(TODAY()),tblClientes[[#This Row],[Día cumple]]+ROW()/100000,""))</f>
        <v/>
      </c>
      <c r="AH29" s="84">
        <f>IF(OR(tblClientes[[#This Row],[Nombre]]="",tblClientes[[#This Row],[Vehículo]]&lt;&gt;VehiculoOferta,tblClientes[[#This Row],[Fecha compra]]=""),"",1000000-tblClientes[[#This Row],[Fecha compra]])</f>
        <v/>
      </c>
      <c r="AI29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29" s="82">
        <f>IF(tblClientes[[#This Row],[Nombre]]="","",ROW())</f>
        <v/>
      </c>
    </row>
    <row r="30" ht="22" customHeight="1">
      <c r="A30" s="72" t="n"/>
      <c r="B30" s="73" t="n"/>
      <c r="C30" s="74" t="n"/>
      <c r="D30" s="74" t="n"/>
      <c r="E30" s="74" t="n"/>
      <c r="F30" s="75" t="n"/>
      <c r="G30" s="76" t="n"/>
      <c r="H30" s="77" t="n"/>
      <c r="I30" s="77" t="n"/>
      <c r="J30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0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0" s="72" t="n"/>
      <c r="M30" s="75" t="n"/>
      <c r="N30" s="73" t="n"/>
      <c r="O30" s="74" t="n"/>
      <c r="P30" s="74" t="n"/>
      <c r="Q30" s="77" t="n"/>
      <c r="R30" s="77" t="n"/>
      <c r="S30" s="77" t="n"/>
      <c r="T30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0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0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0" s="74" t="n"/>
      <c r="X30" s="73" t="n"/>
      <c r="Y30" s="72" t="n"/>
      <c r="Z30" s="75" t="n"/>
      <c r="AA30" s="75" t="n"/>
      <c r="AB30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0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0" s="82">
        <f>IF(OR(tblClientes[[#This Row],[Nombre]]="",tblClientes[[#This Row],[Cumpleaños]]=""),"",MONTH(tblClientes[[#This Row],[Cumpleaños]]))</f>
        <v/>
      </c>
      <c r="AE30" s="82">
        <f>IF(OR(tblClientes[[#This Row],[Nombre]]="",tblClientes[[#This Row],[Cumpleaños]]=""),"",DAY(tblClientes[[#This Row],[Cumpleaños]]))</f>
        <v/>
      </c>
      <c r="AF30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0" s="83">
        <f>IF(OR(tblClientes[[#This Row],[Nombre]]="",tblClientes[[#This Row],[Mes cumple]]=""),"",IF(tblClientes[[#This Row],[Mes cumple]]=MONTH(TODAY()),tblClientes[[#This Row],[Día cumple]]+ROW()/100000,""))</f>
        <v/>
      </c>
      <c r="AH30" s="84">
        <f>IF(OR(tblClientes[[#This Row],[Nombre]]="",tblClientes[[#This Row],[Vehículo]]&lt;&gt;VehiculoOferta,tblClientes[[#This Row],[Fecha compra]]=""),"",1000000-tblClientes[[#This Row],[Fecha compra]])</f>
        <v/>
      </c>
      <c r="AI30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0" s="82">
        <f>IF(tblClientes[[#This Row],[Nombre]]="","",ROW())</f>
        <v/>
      </c>
    </row>
    <row r="31" ht="22" customHeight="1">
      <c r="A31" s="72" t="n"/>
      <c r="B31" s="73" t="n"/>
      <c r="C31" s="74" t="n"/>
      <c r="D31" s="74" t="n"/>
      <c r="E31" s="74" t="n"/>
      <c r="F31" s="75" t="n"/>
      <c r="G31" s="76" t="n"/>
      <c r="H31" s="77" t="n"/>
      <c r="I31" s="77" t="n"/>
      <c r="J31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1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1" s="72" t="n"/>
      <c r="M31" s="75" t="n"/>
      <c r="N31" s="73" t="n"/>
      <c r="O31" s="74" t="n"/>
      <c r="P31" s="74" t="n"/>
      <c r="Q31" s="77" t="n"/>
      <c r="R31" s="77" t="n"/>
      <c r="S31" s="77" t="n"/>
      <c r="T31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1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1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1" s="74" t="n"/>
      <c r="X31" s="73" t="n"/>
      <c r="Y31" s="72" t="n"/>
      <c r="Z31" s="75" t="n"/>
      <c r="AA31" s="75" t="n"/>
      <c r="AB31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1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1" s="82">
        <f>IF(OR(tblClientes[[#This Row],[Nombre]]="",tblClientes[[#This Row],[Cumpleaños]]=""),"",MONTH(tblClientes[[#This Row],[Cumpleaños]]))</f>
        <v/>
      </c>
      <c r="AE31" s="82">
        <f>IF(OR(tblClientes[[#This Row],[Nombre]]="",tblClientes[[#This Row],[Cumpleaños]]=""),"",DAY(tblClientes[[#This Row],[Cumpleaños]]))</f>
        <v/>
      </c>
      <c r="AF31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1" s="83">
        <f>IF(OR(tblClientes[[#This Row],[Nombre]]="",tblClientes[[#This Row],[Mes cumple]]=""),"",IF(tblClientes[[#This Row],[Mes cumple]]=MONTH(TODAY()),tblClientes[[#This Row],[Día cumple]]+ROW()/100000,""))</f>
        <v/>
      </c>
      <c r="AH31" s="84">
        <f>IF(OR(tblClientes[[#This Row],[Nombre]]="",tblClientes[[#This Row],[Vehículo]]&lt;&gt;VehiculoOferta,tblClientes[[#This Row],[Fecha compra]]=""),"",1000000-tblClientes[[#This Row],[Fecha compra]])</f>
        <v/>
      </c>
      <c r="AI31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1" s="82">
        <f>IF(tblClientes[[#This Row],[Nombre]]="","",ROW())</f>
        <v/>
      </c>
    </row>
    <row r="32" ht="22" customHeight="1">
      <c r="A32" s="72" t="n"/>
      <c r="B32" s="73" t="n"/>
      <c r="C32" s="74" t="n"/>
      <c r="D32" s="74" t="n"/>
      <c r="E32" s="74" t="n"/>
      <c r="F32" s="75" t="n"/>
      <c r="G32" s="76" t="n"/>
      <c r="H32" s="77" t="n"/>
      <c r="I32" s="77" t="n"/>
      <c r="J32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2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2" s="72" t="n"/>
      <c r="M32" s="75" t="n"/>
      <c r="N32" s="73" t="n"/>
      <c r="O32" s="74" t="n"/>
      <c r="P32" s="74" t="n"/>
      <c r="Q32" s="77" t="n"/>
      <c r="R32" s="77" t="n"/>
      <c r="S32" s="77" t="n"/>
      <c r="T32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2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2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2" s="74" t="n"/>
      <c r="X32" s="73" t="n"/>
      <c r="Y32" s="72" t="n"/>
      <c r="Z32" s="75" t="n"/>
      <c r="AA32" s="75" t="n"/>
      <c r="AB32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2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2" s="82">
        <f>IF(OR(tblClientes[[#This Row],[Nombre]]="",tblClientes[[#This Row],[Cumpleaños]]=""),"",MONTH(tblClientes[[#This Row],[Cumpleaños]]))</f>
        <v/>
      </c>
      <c r="AE32" s="82">
        <f>IF(OR(tblClientes[[#This Row],[Nombre]]="",tblClientes[[#This Row],[Cumpleaños]]=""),"",DAY(tblClientes[[#This Row],[Cumpleaños]]))</f>
        <v/>
      </c>
      <c r="AF32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2" s="83">
        <f>IF(OR(tblClientes[[#This Row],[Nombre]]="",tblClientes[[#This Row],[Mes cumple]]=""),"",IF(tblClientes[[#This Row],[Mes cumple]]=MONTH(TODAY()),tblClientes[[#This Row],[Día cumple]]+ROW()/100000,""))</f>
        <v/>
      </c>
      <c r="AH32" s="84">
        <f>IF(OR(tblClientes[[#This Row],[Nombre]]="",tblClientes[[#This Row],[Vehículo]]&lt;&gt;VehiculoOferta,tblClientes[[#This Row],[Fecha compra]]=""),"",1000000-tblClientes[[#This Row],[Fecha compra]])</f>
        <v/>
      </c>
      <c r="AI32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2" s="82">
        <f>IF(tblClientes[[#This Row],[Nombre]]="","",ROW())</f>
        <v/>
      </c>
    </row>
    <row r="33" ht="22" customHeight="1">
      <c r="A33" s="72" t="n"/>
      <c r="B33" s="73" t="n"/>
      <c r="C33" s="74" t="n"/>
      <c r="D33" s="74" t="n"/>
      <c r="E33" s="74" t="n"/>
      <c r="F33" s="75" t="n"/>
      <c r="G33" s="76" t="n"/>
      <c r="H33" s="77" t="n"/>
      <c r="I33" s="77" t="n"/>
      <c r="J33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3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3" s="72" t="n"/>
      <c r="M33" s="75" t="n"/>
      <c r="N33" s="73" t="n"/>
      <c r="O33" s="74" t="n"/>
      <c r="P33" s="74" t="n"/>
      <c r="Q33" s="77" t="n"/>
      <c r="R33" s="77" t="n"/>
      <c r="S33" s="77" t="n"/>
      <c r="T33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3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3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3" s="74" t="n"/>
      <c r="X33" s="73" t="n"/>
      <c r="Y33" s="72" t="n"/>
      <c r="Z33" s="75" t="n"/>
      <c r="AA33" s="75" t="n"/>
      <c r="AB33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3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3" s="82">
        <f>IF(OR(tblClientes[[#This Row],[Nombre]]="",tblClientes[[#This Row],[Cumpleaños]]=""),"",MONTH(tblClientes[[#This Row],[Cumpleaños]]))</f>
        <v/>
      </c>
      <c r="AE33" s="82">
        <f>IF(OR(tblClientes[[#This Row],[Nombre]]="",tblClientes[[#This Row],[Cumpleaños]]=""),"",DAY(tblClientes[[#This Row],[Cumpleaños]]))</f>
        <v/>
      </c>
      <c r="AF33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3" s="83">
        <f>IF(OR(tblClientes[[#This Row],[Nombre]]="",tblClientes[[#This Row],[Mes cumple]]=""),"",IF(tblClientes[[#This Row],[Mes cumple]]=MONTH(TODAY()),tblClientes[[#This Row],[Día cumple]]+ROW()/100000,""))</f>
        <v/>
      </c>
      <c r="AH33" s="84">
        <f>IF(OR(tblClientes[[#This Row],[Nombre]]="",tblClientes[[#This Row],[Vehículo]]&lt;&gt;VehiculoOferta,tblClientes[[#This Row],[Fecha compra]]=""),"",1000000-tblClientes[[#This Row],[Fecha compra]])</f>
        <v/>
      </c>
      <c r="AI33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3" s="82">
        <f>IF(tblClientes[[#This Row],[Nombre]]="","",ROW())</f>
        <v/>
      </c>
    </row>
    <row r="34" ht="22" customHeight="1">
      <c r="A34" s="72" t="n"/>
      <c r="B34" s="73" t="n"/>
      <c r="C34" s="74" t="n"/>
      <c r="D34" s="74" t="n"/>
      <c r="E34" s="74" t="n"/>
      <c r="F34" s="75" t="n"/>
      <c r="G34" s="76" t="n"/>
      <c r="H34" s="77" t="n"/>
      <c r="I34" s="77" t="n"/>
      <c r="J34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4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4" s="72" t="n"/>
      <c r="M34" s="75" t="n"/>
      <c r="N34" s="73" t="n"/>
      <c r="O34" s="74" t="n"/>
      <c r="P34" s="74" t="n"/>
      <c r="Q34" s="77" t="n"/>
      <c r="R34" s="77" t="n"/>
      <c r="S34" s="77" t="n"/>
      <c r="T34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4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4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4" s="74" t="n"/>
      <c r="X34" s="73" t="n"/>
      <c r="Y34" s="72" t="n"/>
      <c r="Z34" s="75" t="n"/>
      <c r="AA34" s="75" t="n"/>
      <c r="AB34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4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4" s="82">
        <f>IF(OR(tblClientes[[#This Row],[Nombre]]="",tblClientes[[#This Row],[Cumpleaños]]=""),"",MONTH(tblClientes[[#This Row],[Cumpleaños]]))</f>
        <v/>
      </c>
      <c r="AE34" s="82">
        <f>IF(OR(tblClientes[[#This Row],[Nombre]]="",tblClientes[[#This Row],[Cumpleaños]]=""),"",DAY(tblClientes[[#This Row],[Cumpleaños]]))</f>
        <v/>
      </c>
      <c r="AF34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4" s="83">
        <f>IF(OR(tblClientes[[#This Row],[Nombre]]="",tblClientes[[#This Row],[Mes cumple]]=""),"",IF(tblClientes[[#This Row],[Mes cumple]]=MONTH(TODAY()),tblClientes[[#This Row],[Día cumple]]+ROW()/100000,""))</f>
        <v/>
      </c>
      <c r="AH34" s="84">
        <f>IF(OR(tblClientes[[#This Row],[Nombre]]="",tblClientes[[#This Row],[Vehículo]]&lt;&gt;VehiculoOferta,tblClientes[[#This Row],[Fecha compra]]=""),"",1000000-tblClientes[[#This Row],[Fecha compra]])</f>
        <v/>
      </c>
      <c r="AI34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4" s="82">
        <f>IF(tblClientes[[#This Row],[Nombre]]="","",ROW())</f>
        <v/>
      </c>
    </row>
    <row r="35" ht="22" customHeight="1">
      <c r="A35" s="72" t="n"/>
      <c r="B35" s="73" t="n"/>
      <c r="C35" s="74" t="n"/>
      <c r="D35" s="74" t="n"/>
      <c r="E35" s="74" t="n"/>
      <c r="F35" s="75" t="n"/>
      <c r="G35" s="76" t="n"/>
      <c r="H35" s="77" t="n"/>
      <c r="I35" s="77" t="n"/>
      <c r="J35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5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5" s="72" t="n"/>
      <c r="M35" s="75" t="n"/>
      <c r="N35" s="73" t="n"/>
      <c r="O35" s="74" t="n"/>
      <c r="P35" s="74" t="n"/>
      <c r="Q35" s="77" t="n"/>
      <c r="R35" s="77" t="n"/>
      <c r="S35" s="77" t="n"/>
      <c r="T35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5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5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5" s="74" t="n"/>
      <c r="X35" s="73" t="n"/>
      <c r="Y35" s="72" t="n"/>
      <c r="Z35" s="75" t="n"/>
      <c r="AA35" s="75" t="n"/>
      <c r="AB35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5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5" s="82">
        <f>IF(OR(tblClientes[[#This Row],[Nombre]]="",tblClientes[[#This Row],[Cumpleaños]]=""),"",MONTH(tblClientes[[#This Row],[Cumpleaños]]))</f>
        <v/>
      </c>
      <c r="AE35" s="82">
        <f>IF(OR(tblClientes[[#This Row],[Nombre]]="",tblClientes[[#This Row],[Cumpleaños]]=""),"",DAY(tblClientes[[#This Row],[Cumpleaños]]))</f>
        <v/>
      </c>
      <c r="AF35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5" s="83">
        <f>IF(OR(tblClientes[[#This Row],[Nombre]]="",tblClientes[[#This Row],[Mes cumple]]=""),"",IF(tblClientes[[#This Row],[Mes cumple]]=MONTH(TODAY()),tblClientes[[#This Row],[Día cumple]]+ROW()/100000,""))</f>
        <v/>
      </c>
      <c r="AH35" s="84">
        <f>IF(OR(tblClientes[[#This Row],[Nombre]]="",tblClientes[[#This Row],[Vehículo]]&lt;&gt;VehiculoOferta,tblClientes[[#This Row],[Fecha compra]]=""),"",1000000-tblClientes[[#This Row],[Fecha compra]])</f>
        <v/>
      </c>
      <c r="AI35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5" s="82">
        <f>IF(tblClientes[[#This Row],[Nombre]]="","",ROW())</f>
        <v/>
      </c>
    </row>
    <row r="36" ht="22" customHeight="1">
      <c r="A36" s="72" t="n"/>
      <c r="B36" s="73" t="n"/>
      <c r="C36" s="74" t="n"/>
      <c r="D36" s="74" t="n"/>
      <c r="E36" s="74" t="n"/>
      <c r="F36" s="75" t="n"/>
      <c r="G36" s="76" t="n"/>
      <c r="H36" s="77" t="n"/>
      <c r="I36" s="77" t="n"/>
      <c r="J36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6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6" s="72" t="n"/>
      <c r="M36" s="75" t="n"/>
      <c r="N36" s="73" t="n"/>
      <c r="O36" s="74" t="n"/>
      <c r="P36" s="74" t="n"/>
      <c r="Q36" s="77" t="n"/>
      <c r="R36" s="77" t="n"/>
      <c r="S36" s="77" t="n"/>
      <c r="T36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6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6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6" s="74" t="n"/>
      <c r="X36" s="73" t="n"/>
      <c r="Y36" s="72" t="n"/>
      <c r="Z36" s="75" t="n"/>
      <c r="AA36" s="75" t="n"/>
      <c r="AB36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6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6" s="82">
        <f>IF(OR(tblClientes[[#This Row],[Nombre]]="",tblClientes[[#This Row],[Cumpleaños]]=""),"",MONTH(tblClientes[[#This Row],[Cumpleaños]]))</f>
        <v/>
      </c>
      <c r="AE36" s="82">
        <f>IF(OR(tblClientes[[#This Row],[Nombre]]="",tblClientes[[#This Row],[Cumpleaños]]=""),"",DAY(tblClientes[[#This Row],[Cumpleaños]]))</f>
        <v/>
      </c>
      <c r="AF36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6" s="83">
        <f>IF(OR(tblClientes[[#This Row],[Nombre]]="",tblClientes[[#This Row],[Mes cumple]]=""),"",IF(tblClientes[[#This Row],[Mes cumple]]=MONTH(TODAY()),tblClientes[[#This Row],[Día cumple]]+ROW()/100000,""))</f>
        <v/>
      </c>
      <c r="AH36" s="84">
        <f>IF(OR(tblClientes[[#This Row],[Nombre]]="",tblClientes[[#This Row],[Vehículo]]&lt;&gt;VehiculoOferta,tblClientes[[#This Row],[Fecha compra]]=""),"",1000000-tblClientes[[#This Row],[Fecha compra]])</f>
        <v/>
      </c>
      <c r="AI36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6" s="82">
        <f>IF(tblClientes[[#This Row],[Nombre]]="","",ROW())</f>
        <v/>
      </c>
    </row>
    <row r="37" ht="22" customHeight="1">
      <c r="A37" s="72" t="n"/>
      <c r="B37" s="73" t="n"/>
      <c r="C37" s="74" t="n"/>
      <c r="D37" s="74" t="n"/>
      <c r="E37" s="74" t="n"/>
      <c r="F37" s="75" t="n"/>
      <c r="G37" s="76" t="n"/>
      <c r="H37" s="77" t="n"/>
      <c r="I37" s="77" t="n"/>
      <c r="J37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7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7" s="72" t="n"/>
      <c r="M37" s="75" t="n"/>
      <c r="N37" s="73" t="n"/>
      <c r="O37" s="74" t="n"/>
      <c r="P37" s="74" t="n"/>
      <c r="Q37" s="77" t="n"/>
      <c r="R37" s="77" t="n"/>
      <c r="S37" s="77" t="n"/>
      <c r="T37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7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7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7" s="74" t="n"/>
      <c r="X37" s="73" t="n"/>
      <c r="Y37" s="72" t="n"/>
      <c r="Z37" s="75" t="n"/>
      <c r="AA37" s="75" t="n"/>
      <c r="AB37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7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7" s="82">
        <f>IF(OR(tblClientes[[#This Row],[Nombre]]="",tblClientes[[#This Row],[Cumpleaños]]=""),"",MONTH(tblClientes[[#This Row],[Cumpleaños]]))</f>
        <v/>
      </c>
      <c r="AE37" s="82">
        <f>IF(OR(tblClientes[[#This Row],[Nombre]]="",tblClientes[[#This Row],[Cumpleaños]]=""),"",DAY(tblClientes[[#This Row],[Cumpleaños]]))</f>
        <v/>
      </c>
      <c r="AF37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7" s="83">
        <f>IF(OR(tblClientes[[#This Row],[Nombre]]="",tblClientes[[#This Row],[Mes cumple]]=""),"",IF(tblClientes[[#This Row],[Mes cumple]]=MONTH(TODAY()),tblClientes[[#This Row],[Día cumple]]+ROW()/100000,""))</f>
        <v/>
      </c>
      <c r="AH37" s="84">
        <f>IF(OR(tblClientes[[#This Row],[Nombre]]="",tblClientes[[#This Row],[Vehículo]]&lt;&gt;VehiculoOferta,tblClientes[[#This Row],[Fecha compra]]=""),"",1000000-tblClientes[[#This Row],[Fecha compra]])</f>
        <v/>
      </c>
      <c r="AI37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7" s="82">
        <f>IF(tblClientes[[#This Row],[Nombre]]="","",ROW())</f>
        <v/>
      </c>
    </row>
    <row r="38" ht="22" customHeight="1">
      <c r="A38" s="72" t="n"/>
      <c r="B38" s="73" t="n"/>
      <c r="C38" s="74" t="n"/>
      <c r="D38" s="74" t="n"/>
      <c r="E38" s="74" t="n"/>
      <c r="F38" s="75" t="n"/>
      <c r="G38" s="76" t="n"/>
      <c r="H38" s="77" t="n"/>
      <c r="I38" s="77" t="n"/>
      <c r="J38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8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8" s="72" t="n"/>
      <c r="M38" s="75" t="n"/>
      <c r="N38" s="73" t="n"/>
      <c r="O38" s="74" t="n"/>
      <c r="P38" s="74" t="n"/>
      <c r="Q38" s="77" t="n"/>
      <c r="R38" s="77" t="n"/>
      <c r="S38" s="77" t="n"/>
      <c r="T38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8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8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8" s="74" t="n"/>
      <c r="X38" s="73" t="n"/>
      <c r="Y38" s="72" t="n"/>
      <c r="Z38" s="75" t="n"/>
      <c r="AA38" s="75" t="n"/>
      <c r="AB38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8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8" s="82">
        <f>IF(OR(tblClientes[[#This Row],[Nombre]]="",tblClientes[[#This Row],[Cumpleaños]]=""),"",MONTH(tblClientes[[#This Row],[Cumpleaños]]))</f>
        <v/>
      </c>
      <c r="AE38" s="82">
        <f>IF(OR(tblClientes[[#This Row],[Nombre]]="",tblClientes[[#This Row],[Cumpleaños]]=""),"",DAY(tblClientes[[#This Row],[Cumpleaños]]))</f>
        <v/>
      </c>
      <c r="AF38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8" s="83">
        <f>IF(OR(tblClientes[[#This Row],[Nombre]]="",tblClientes[[#This Row],[Mes cumple]]=""),"",IF(tblClientes[[#This Row],[Mes cumple]]=MONTH(TODAY()),tblClientes[[#This Row],[Día cumple]]+ROW()/100000,""))</f>
        <v/>
      </c>
      <c r="AH38" s="84">
        <f>IF(OR(tblClientes[[#This Row],[Nombre]]="",tblClientes[[#This Row],[Vehículo]]&lt;&gt;VehiculoOferta,tblClientes[[#This Row],[Fecha compra]]=""),"",1000000-tblClientes[[#This Row],[Fecha compra]])</f>
        <v/>
      </c>
      <c r="AI38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8" s="82">
        <f>IF(tblClientes[[#This Row],[Nombre]]="","",ROW())</f>
        <v/>
      </c>
    </row>
    <row r="39" ht="22" customHeight="1">
      <c r="A39" s="72" t="n"/>
      <c r="B39" s="73" t="n"/>
      <c r="C39" s="74" t="n"/>
      <c r="D39" s="74" t="n"/>
      <c r="E39" s="74" t="n"/>
      <c r="F39" s="75" t="n"/>
      <c r="G39" s="76" t="n"/>
      <c r="H39" s="77" t="n"/>
      <c r="I39" s="77" t="n"/>
      <c r="J39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39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39" s="72" t="n"/>
      <c r="M39" s="75" t="n"/>
      <c r="N39" s="73" t="n"/>
      <c r="O39" s="74" t="n"/>
      <c r="P39" s="74" t="n"/>
      <c r="Q39" s="77" t="n"/>
      <c r="R39" s="77" t="n"/>
      <c r="S39" s="77" t="n"/>
      <c r="T39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39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39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39" s="74" t="n"/>
      <c r="X39" s="73" t="n"/>
      <c r="Y39" s="72" t="n"/>
      <c r="Z39" s="75" t="n"/>
      <c r="AA39" s="75" t="n"/>
      <c r="AB39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39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39" s="82">
        <f>IF(OR(tblClientes[[#This Row],[Nombre]]="",tblClientes[[#This Row],[Cumpleaños]]=""),"",MONTH(tblClientes[[#This Row],[Cumpleaños]]))</f>
        <v/>
      </c>
      <c r="AE39" s="82">
        <f>IF(OR(tblClientes[[#This Row],[Nombre]]="",tblClientes[[#This Row],[Cumpleaños]]=""),"",DAY(tblClientes[[#This Row],[Cumpleaños]]))</f>
        <v/>
      </c>
      <c r="AF39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39" s="83">
        <f>IF(OR(tblClientes[[#This Row],[Nombre]]="",tblClientes[[#This Row],[Mes cumple]]=""),"",IF(tblClientes[[#This Row],[Mes cumple]]=MONTH(TODAY()),tblClientes[[#This Row],[Día cumple]]+ROW()/100000,""))</f>
        <v/>
      </c>
      <c r="AH39" s="84">
        <f>IF(OR(tblClientes[[#This Row],[Nombre]]="",tblClientes[[#This Row],[Vehículo]]&lt;&gt;VehiculoOferta,tblClientes[[#This Row],[Fecha compra]]=""),"",1000000-tblClientes[[#This Row],[Fecha compra]])</f>
        <v/>
      </c>
      <c r="AI39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39" s="82">
        <f>IF(tblClientes[[#This Row],[Nombre]]="","",ROW())</f>
        <v/>
      </c>
    </row>
    <row r="40" ht="22" customHeight="1">
      <c r="A40" s="72" t="n"/>
      <c r="B40" s="73" t="n"/>
      <c r="C40" s="74" t="n"/>
      <c r="D40" s="74" t="n"/>
      <c r="E40" s="74" t="n"/>
      <c r="F40" s="75" t="n"/>
      <c r="G40" s="76" t="n"/>
      <c r="H40" s="77" t="n"/>
      <c r="I40" s="77" t="n"/>
      <c r="J40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0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0" s="72" t="n"/>
      <c r="M40" s="75" t="n"/>
      <c r="N40" s="73" t="n"/>
      <c r="O40" s="74" t="n"/>
      <c r="P40" s="74" t="n"/>
      <c r="Q40" s="77" t="n"/>
      <c r="R40" s="77" t="n"/>
      <c r="S40" s="77" t="n"/>
      <c r="T40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0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0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0" s="74" t="n"/>
      <c r="X40" s="73" t="n"/>
      <c r="Y40" s="72" t="n"/>
      <c r="Z40" s="75" t="n"/>
      <c r="AA40" s="75" t="n"/>
      <c r="AB40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0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0" s="82">
        <f>IF(OR(tblClientes[[#This Row],[Nombre]]="",tblClientes[[#This Row],[Cumpleaños]]=""),"",MONTH(tblClientes[[#This Row],[Cumpleaños]]))</f>
        <v/>
      </c>
      <c r="AE40" s="82">
        <f>IF(OR(tblClientes[[#This Row],[Nombre]]="",tblClientes[[#This Row],[Cumpleaños]]=""),"",DAY(tblClientes[[#This Row],[Cumpleaños]]))</f>
        <v/>
      </c>
      <c r="AF40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0" s="83">
        <f>IF(OR(tblClientes[[#This Row],[Nombre]]="",tblClientes[[#This Row],[Mes cumple]]=""),"",IF(tblClientes[[#This Row],[Mes cumple]]=MONTH(TODAY()),tblClientes[[#This Row],[Día cumple]]+ROW()/100000,""))</f>
        <v/>
      </c>
      <c r="AH40" s="84">
        <f>IF(OR(tblClientes[[#This Row],[Nombre]]="",tblClientes[[#This Row],[Vehículo]]&lt;&gt;VehiculoOferta,tblClientes[[#This Row],[Fecha compra]]=""),"",1000000-tblClientes[[#This Row],[Fecha compra]])</f>
        <v/>
      </c>
      <c r="AI40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0" s="82">
        <f>IF(tblClientes[[#This Row],[Nombre]]="","",ROW())</f>
        <v/>
      </c>
    </row>
    <row r="41" ht="22" customHeight="1">
      <c r="A41" s="72" t="n"/>
      <c r="B41" s="73" t="n"/>
      <c r="C41" s="74" t="n"/>
      <c r="D41" s="74" t="n"/>
      <c r="E41" s="74" t="n"/>
      <c r="F41" s="75" t="n"/>
      <c r="G41" s="76" t="n"/>
      <c r="H41" s="77" t="n"/>
      <c r="I41" s="77" t="n"/>
      <c r="J41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1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1" s="72" t="n"/>
      <c r="M41" s="75" t="n"/>
      <c r="N41" s="73" t="n"/>
      <c r="O41" s="74" t="n"/>
      <c r="P41" s="74" t="n"/>
      <c r="Q41" s="77" t="n"/>
      <c r="R41" s="77" t="n"/>
      <c r="S41" s="77" t="n"/>
      <c r="T41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1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1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1" s="74" t="n"/>
      <c r="X41" s="73" t="n"/>
      <c r="Y41" s="72" t="n"/>
      <c r="Z41" s="75" t="n"/>
      <c r="AA41" s="75" t="n"/>
      <c r="AB41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1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1" s="82">
        <f>IF(OR(tblClientes[[#This Row],[Nombre]]="",tblClientes[[#This Row],[Cumpleaños]]=""),"",MONTH(tblClientes[[#This Row],[Cumpleaños]]))</f>
        <v/>
      </c>
      <c r="AE41" s="82">
        <f>IF(OR(tblClientes[[#This Row],[Nombre]]="",tblClientes[[#This Row],[Cumpleaños]]=""),"",DAY(tblClientes[[#This Row],[Cumpleaños]]))</f>
        <v/>
      </c>
      <c r="AF41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1" s="83">
        <f>IF(OR(tblClientes[[#This Row],[Nombre]]="",tblClientes[[#This Row],[Mes cumple]]=""),"",IF(tblClientes[[#This Row],[Mes cumple]]=MONTH(TODAY()),tblClientes[[#This Row],[Día cumple]]+ROW()/100000,""))</f>
        <v/>
      </c>
      <c r="AH41" s="84">
        <f>IF(OR(tblClientes[[#This Row],[Nombre]]="",tblClientes[[#This Row],[Vehículo]]&lt;&gt;VehiculoOferta,tblClientes[[#This Row],[Fecha compra]]=""),"",1000000-tblClientes[[#This Row],[Fecha compra]])</f>
        <v/>
      </c>
      <c r="AI41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1" s="82">
        <f>IF(tblClientes[[#This Row],[Nombre]]="","",ROW())</f>
        <v/>
      </c>
    </row>
    <row r="42" ht="22" customHeight="1">
      <c r="A42" s="72" t="n"/>
      <c r="B42" s="73" t="n"/>
      <c r="C42" s="74" t="n"/>
      <c r="D42" s="74" t="n"/>
      <c r="E42" s="74" t="n"/>
      <c r="F42" s="75" t="n"/>
      <c r="G42" s="76" t="n"/>
      <c r="H42" s="77" t="n"/>
      <c r="I42" s="77" t="n"/>
      <c r="J42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2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2" s="72" t="n"/>
      <c r="M42" s="75" t="n"/>
      <c r="N42" s="73" t="n"/>
      <c r="O42" s="74" t="n"/>
      <c r="P42" s="74" t="n"/>
      <c r="Q42" s="77" t="n"/>
      <c r="R42" s="77" t="n"/>
      <c r="S42" s="77" t="n"/>
      <c r="T42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2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2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2" s="74" t="n"/>
      <c r="X42" s="73" t="n"/>
      <c r="Y42" s="72" t="n"/>
      <c r="Z42" s="75" t="n"/>
      <c r="AA42" s="75" t="n"/>
      <c r="AB42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2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2" s="82">
        <f>IF(OR(tblClientes[[#This Row],[Nombre]]="",tblClientes[[#This Row],[Cumpleaños]]=""),"",MONTH(tblClientes[[#This Row],[Cumpleaños]]))</f>
        <v/>
      </c>
      <c r="AE42" s="82">
        <f>IF(OR(tblClientes[[#This Row],[Nombre]]="",tblClientes[[#This Row],[Cumpleaños]]=""),"",DAY(tblClientes[[#This Row],[Cumpleaños]]))</f>
        <v/>
      </c>
      <c r="AF42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2" s="83">
        <f>IF(OR(tblClientes[[#This Row],[Nombre]]="",tblClientes[[#This Row],[Mes cumple]]=""),"",IF(tblClientes[[#This Row],[Mes cumple]]=MONTH(TODAY()),tblClientes[[#This Row],[Día cumple]]+ROW()/100000,""))</f>
        <v/>
      </c>
      <c r="AH42" s="84">
        <f>IF(OR(tblClientes[[#This Row],[Nombre]]="",tblClientes[[#This Row],[Vehículo]]&lt;&gt;VehiculoOferta,tblClientes[[#This Row],[Fecha compra]]=""),"",1000000-tblClientes[[#This Row],[Fecha compra]])</f>
        <v/>
      </c>
      <c r="AI42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2" s="82">
        <f>IF(tblClientes[[#This Row],[Nombre]]="","",ROW())</f>
        <v/>
      </c>
    </row>
    <row r="43" ht="22" customHeight="1">
      <c r="A43" s="72" t="n"/>
      <c r="B43" s="73" t="n"/>
      <c r="C43" s="74" t="n"/>
      <c r="D43" s="74" t="n"/>
      <c r="E43" s="74" t="n"/>
      <c r="F43" s="75" t="n"/>
      <c r="G43" s="76" t="n"/>
      <c r="H43" s="77" t="n"/>
      <c r="I43" s="77" t="n"/>
      <c r="J43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3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3" s="72" t="n"/>
      <c r="M43" s="75" t="n"/>
      <c r="N43" s="73" t="n"/>
      <c r="O43" s="74" t="n"/>
      <c r="P43" s="74" t="n"/>
      <c r="Q43" s="77" t="n"/>
      <c r="R43" s="77" t="n"/>
      <c r="S43" s="77" t="n"/>
      <c r="T43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3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3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3" s="74" t="n"/>
      <c r="X43" s="73" t="n"/>
      <c r="Y43" s="72" t="n"/>
      <c r="Z43" s="75" t="n"/>
      <c r="AA43" s="75" t="n"/>
      <c r="AB43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3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3" s="82">
        <f>IF(OR(tblClientes[[#This Row],[Nombre]]="",tblClientes[[#This Row],[Cumpleaños]]=""),"",MONTH(tblClientes[[#This Row],[Cumpleaños]]))</f>
        <v/>
      </c>
      <c r="AE43" s="82">
        <f>IF(OR(tblClientes[[#This Row],[Nombre]]="",tblClientes[[#This Row],[Cumpleaños]]=""),"",DAY(tblClientes[[#This Row],[Cumpleaños]]))</f>
        <v/>
      </c>
      <c r="AF43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3" s="83">
        <f>IF(OR(tblClientes[[#This Row],[Nombre]]="",tblClientes[[#This Row],[Mes cumple]]=""),"",IF(tblClientes[[#This Row],[Mes cumple]]=MONTH(TODAY()),tblClientes[[#This Row],[Día cumple]]+ROW()/100000,""))</f>
        <v/>
      </c>
      <c r="AH43" s="84">
        <f>IF(OR(tblClientes[[#This Row],[Nombre]]="",tblClientes[[#This Row],[Vehículo]]&lt;&gt;VehiculoOferta,tblClientes[[#This Row],[Fecha compra]]=""),"",1000000-tblClientes[[#This Row],[Fecha compra]])</f>
        <v/>
      </c>
      <c r="AI43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3" s="82">
        <f>IF(tblClientes[[#This Row],[Nombre]]="","",ROW())</f>
        <v/>
      </c>
    </row>
    <row r="44" ht="22" customHeight="1">
      <c r="A44" s="72" t="n"/>
      <c r="B44" s="73" t="n"/>
      <c r="C44" s="74" t="n"/>
      <c r="D44" s="74" t="n"/>
      <c r="E44" s="74" t="n"/>
      <c r="F44" s="75" t="n"/>
      <c r="G44" s="76" t="n"/>
      <c r="H44" s="77" t="n"/>
      <c r="I44" s="77" t="n"/>
      <c r="J44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4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4" s="72" t="n"/>
      <c r="M44" s="75" t="n"/>
      <c r="N44" s="73" t="n"/>
      <c r="O44" s="74" t="n"/>
      <c r="P44" s="74" t="n"/>
      <c r="Q44" s="77" t="n"/>
      <c r="R44" s="77" t="n"/>
      <c r="S44" s="77" t="n"/>
      <c r="T44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4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4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4" s="74" t="n"/>
      <c r="X44" s="73" t="n"/>
      <c r="Y44" s="72" t="n"/>
      <c r="Z44" s="75" t="n"/>
      <c r="AA44" s="75" t="n"/>
      <c r="AB44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4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4" s="82">
        <f>IF(OR(tblClientes[[#This Row],[Nombre]]="",tblClientes[[#This Row],[Cumpleaños]]=""),"",MONTH(tblClientes[[#This Row],[Cumpleaños]]))</f>
        <v/>
      </c>
      <c r="AE44" s="82">
        <f>IF(OR(tblClientes[[#This Row],[Nombre]]="",tblClientes[[#This Row],[Cumpleaños]]=""),"",DAY(tblClientes[[#This Row],[Cumpleaños]]))</f>
        <v/>
      </c>
      <c r="AF44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4" s="83">
        <f>IF(OR(tblClientes[[#This Row],[Nombre]]="",tblClientes[[#This Row],[Mes cumple]]=""),"",IF(tblClientes[[#This Row],[Mes cumple]]=MONTH(TODAY()),tblClientes[[#This Row],[Día cumple]]+ROW()/100000,""))</f>
        <v/>
      </c>
      <c r="AH44" s="84">
        <f>IF(OR(tblClientes[[#This Row],[Nombre]]="",tblClientes[[#This Row],[Vehículo]]&lt;&gt;VehiculoOferta,tblClientes[[#This Row],[Fecha compra]]=""),"",1000000-tblClientes[[#This Row],[Fecha compra]])</f>
        <v/>
      </c>
      <c r="AI44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4" s="82">
        <f>IF(tblClientes[[#This Row],[Nombre]]="","",ROW())</f>
        <v/>
      </c>
    </row>
    <row r="45" ht="22" customHeight="1">
      <c r="A45" s="72" t="n"/>
      <c r="B45" s="73" t="n"/>
      <c r="C45" s="74" t="n"/>
      <c r="D45" s="74" t="n"/>
      <c r="E45" s="74" t="n"/>
      <c r="F45" s="75" t="n"/>
      <c r="G45" s="76" t="n"/>
      <c r="H45" s="77" t="n"/>
      <c r="I45" s="77" t="n"/>
      <c r="J45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5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5" s="72" t="n"/>
      <c r="M45" s="75" t="n"/>
      <c r="N45" s="73" t="n"/>
      <c r="O45" s="74" t="n"/>
      <c r="P45" s="74" t="n"/>
      <c r="Q45" s="77" t="n"/>
      <c r="R45" s="77" t="n"/>
      <c r="S45" s="77" t="n"/>
      <c r="T45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5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5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5" s="74" t="n"/>
      <c r="X45" s="73" t="n"/>
      <c r="Y45" s="72" t="n"/>
      <c r="Z45" s="75" t="n"/>
      <c r="AA45" s="75" t="n"/>
      <c r="AB45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5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5" s="82">
        <f>IF(OR(tblClientes[[#This Row],[Nombre]]="",tblClientes[[#This Row],[Cumpleaños]]=""),"",MONTH(tblClientes[[#This Row],[Cumpleaños]]))</f>
        <v/>
      </c>
      <c r="AE45" s="82">
        <f>IF(OR(tblClientes[[#This Row],[Nombre]]="",tblClientes[[#This Row],[Cumpleaños]]=""),"",DAY(tblClientes[[#This Row],[Cumpleaños]]))</f>
        <v/>
      </c>
      <c r="AF45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5" s="83">
        <f>IF(OR(tblClientes[[#This Row],[Nombre]]="",tblClientes[[#This Row],[Mes cumple]]=""),"",IF(tblClientes[[#This Row],[Mes cumple]]=MONTH(TODAY()),tblClientes[[#This Row],[Día cumple]]+ROW()/100000,""))</f>
        <v/>
      </c>
      <c r="AH45" s="84">
        <f>IF(OR(tblClientes[[#This Row],[Nombre]]="",tblClientes[[#This Row],[Vehículo]]&lt;&gt;VehiculoOferta,tblClientes[[#This Row],[Fecha compra]]=""),"",1000000-tblClientes[[#This Row],[Fecha compra]])</f>
        <v/>
      </c>
      <c r="AI45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5" s="82">
        <f>IF(tblClientes[[#This Row],[Nombre]]="","",ROW())</f>
        <v/>
      </c>
    </row>
    <row r="46" ht="22" customHeight="1">
      <c r="A46" s="72" t="n"/>
      <c r="B46" s="73" t="n"/>
      <c r="C46" s="74" t="n"/>
      <c r="D46" s="74" t="n"/>
      <c r="E46" s="74" t="n"/>
      <c r="F46" s="75" t="n"/>
      <c r="G46" s="76" t="n"/>
      <c r="H46" s="77" t="n"/>
      <c r="I46" s="77" t="n"/>
      <c r="J46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6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6" s="72" t="n"/>
      <c r="M46" s="75" t="n"/>
      <c r="N46" s="73" t="n"/>
      <c r="O46" s="74" t="n"/>
      <c r="P46" s="74" t="n"/>
      <c r="Q46" s="77" t="n"/>
      <c r="R46" s="77" t="n"/>
      <c r="S46" s="77" t="n"/>
      <c r="T46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6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6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6" s="74" t="n"/>
      <c r="X46" s="73" t="n"/>
      <c r="Y46" s="72" t="n"/>
      <c r="Z46" s="75" t="n"/>
      <c r="AA46" s="75" t="n"/>
      <c r="AB46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6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6" s="82">
        <f>IF(OR(tblClientes[[#This Row],[Nombre]]="",tblClientes[[#This Row],[Cumpleaños]]=""),"",MONTH(tblClientes[[#This Row],[Cumpleaños]]))</f>
        <v/>
      </c>
      <c r="AE46" s="82">
        <f>IF(OR(tblClientes[[#This Row],[Nombre]]="",tblClientes[[#This Row],[Cumpleaños]]=""),"",DAY(tblClientes[[#This Row],[Cumpleaños]]))</f>
        <v/>
      </c>
      <c r="AF46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6" s="83">
        <f>IF(OR(tblClientes[[#This Row],[Nombre]]="",tblClientes[[#This Row],[Mes cumple]]=""),"",IF(tblClientes[[#This Row],[Mes cumple]]=MONTH(TODAY()),tblClientes[[#This Row],[Día cumple]]+ROW()/100000,""))</f>
        <v/>
      </c>
      <c r="AH46" s="84">
        <f>IF(OR(tblClientes[[#This Row],[Nombre]]="",tblClientes[[#This Row],[Vehículo]]&lt;&gt;VehiculoOferta,tblClientes[[#This Row],[Fecha compra]]=""),"",1000000-tblClientes[[#This Row],[Fecha compra]])</f>
        <v/>
      </c>
      <c r="AI46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6" s="82">
        <f>IF(tblClientes[[#This Row],[Nombre]]="","",ROW())</f>
        <v/>
      </c>
    </row>
    <row r="47" ht="22" customHeight="1">
      <c r="A47" s="72" t="n"/>
      <c r="B47" s="73" t="n"/>
      <c r="C47" s="74" t="n"/>
      <c r="D47" s="74" t="n"/>
      <c r="E47" s="74" t="n"/>
      <c r="F47" s="75" t="n"/>
      <c r="G47" s="76" t="n"/>
      <c r="H47" s="77" t="n"/>
      <c r="I47" s="77" t="n"/>
      <c r="J47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7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7" s="72" t="n"/>
      <c r="M47" s="75" t="n"/>
      <c r="N47" s="73" t="n"/>
      <c r="O47" s="74" t="n"/>
      <c r="P47" s="74" t="n"/>
      <c r="Q47" s="77" t="n"/>
      <c r="R47" s="77" t="n"/>
      <c r="S47" s="77" t="n"/>
      <c r="T47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7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7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7" s="74" t="n"/>
      <c r="X47" s="73" t="n"/>
      <c r="Y47" s="72" t="n"/>
      <c r="Z47" s="75" t="n"/>
      <c r="AA47" s="75" t="n"/>
      <c r="AB47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7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7" s="82">
        <f>IF(OR(tblClientes[[#This Row],[Nombre]]="",tblClientes[[#This Row],[Cumpleaños]]=""),"",MONTH(tblClientes[[#This Row],[Cumpleaños]]))</f>
        <v/>
      </c>
      <c r="AE47" s="82">
        <f>IF(OR(tblClientes[[#This Row],[Nombre]]="",tblClientes[[#This Row],[Cumpleaños]]=""),"",DAY(tblClientes[[#This Row],[Cumpleaños]]))</f>
        <v/>
      </c>
      <c r="AF47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7" s="83">
        <f>IF(OR(tblClientes[[#This Row],[Nombre]]="",tblClientes[[#This Row],[Mes cumple]]=""),"",IF(tblClientes[[#This Row],[Mes cumple]]=MONTH(TODAY()),tblClientes[[#This Row],[Día cumple]]+ROW()/100000,""))</f>
        <v/>
      </c>
      <c r="AH47" s="84">
        <f>IF(OR(tblClientes[[#This Row],[Nombre]]="",tblClientes[[#This Row],[Vehículo]]&lt;&gt;VehiculoOferta,tblClientes[[#This Row],[Fecha compra]]=""),"",1000000-tblClientes[[#This Row],[Fecha compra]])</f>
        <v/>
      </c>
      <c r="AI47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7" s="82">
        <f>IF(tblClientes[[#This Row],[Nombre]]="","",ROW())</f>
        <v/>
      </c>
    </row>
    <row r="48" ht="22" customHeight="1">
      <c r="A48" s="72" t="n"/>
      <c r="B48" s="73" t="n"/>
      <c r="C48" s="74" t="n"/>
      <c r="D48" s="74" t="n"/>
      <c r="E48" s="74" t="n"/>
      <c r="F48" s="75" t="n"/>
      <c r="G48" s="76" t="n"/>
      <c r="H48" s="77" t="n"/>
      <c r="I48" s="77" t="n"/>
      <c r="J48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8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8" s="72" t="n"/>
      <c r="M48" s="75" t="n"/>
      <c r="N48" s="73" t="n"/>
      <c r="O48" s="74" t="n"/>
      <c r="P48" s="74" t="n"/>
      <c r="Q48" s="77" t="n"/>
      <c r="R48" s="77" t="n"/>
      <c r="S48" s="77" t="n"/>
      <c r="T48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8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8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8" s="74" t="n"/>
      <c r="X48" s="73" t="n"/>
      <c r="Y48" s="72" t="n"/>
      <c r="Z48" s="75" t="n"/>
      <c r="AA48" s="75" t="n"/>
      <c r="AB48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8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8" s="82">
        <f>IF(OR(tblClientes[[#This Row],[Nombre]]="",tblClientes[[#This Row],[Cumpleaños]]=""),"",MONTH(tblClientes[[#This Row],[Cumpleaños]]))</f>
        <v/>
      </c>
      <c r="AE48" s="82">
        <f>IF(OR(tblClientes[[#This Row],[Nombre]]="",tblClientes[[#This Row],[Cumpleaños]]=""),"",DAY(tblClientes[[#This Row],[Cumpleaños]]))</f>
        <v/>
      </c>
      <c r="AF48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8" s="83">
        <f>IF(OR(tblClientes[[#This Row],[Nombre]]="",tblClientes[[#This Row],[Mes cumple]]=""),"",IF(tblClientes[[#This Row],[Mes cumple]]=MONTH(TODAY()),tblClientes[[#This Row],[Día cumple]]+ROW()/100000,""))</f>
        <v/>
      </c>
      <c r="AH48" s="84">
        <f>IF(OR(tblClientes[[#This Row],[Nombre]]="",tblClientes[[#This Row],[Vehículo]]&lt;&gt;VehiculoOferta,tblClientes[[#This Row],[Fecha compra]]=""),"",1000000-tblClientes[[#This Row],[Fecha compra]])</f>
        <v/>
      </c>
      <c r="AI48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8" s="82">
        <f>IF(tblClientes[[#This Row],[Nombre]]="","",ROW())</f>
        <v/>
      </c>
    </row>
    <row r="49" ht="22" customHeight="1">
      <c r="A49" s="72" t="n"/>
      <c r="B49" s="73" t="n"/>
      <c r="C49" s="74" t="n"/>
      <c r="D49" s="74" t="n"/>
      <c r="E49" s="74" t="n"/>
      <c r="F49" s="75" t="n"/>
      <c r="G49" s="76" t="n"/>
      <c r="H49" s="77" t="n"/>
      <c r="I49" s="77" t="n"/>
      <c r="J49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49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49" s="72" t="n"/>
      <c r="M49" s="75" t="n"/>
      <c r="N49" s="73" t="n"/>
      <c r="O49" s="74" t="n"/>
      <c r="P49" s="74" t="n"/>
      <c r="Q49" s="77" t="n"/>
      <c r="R49" s="77" t="n"/>
      <c r="S49" s="77" t="n"/>
      <c r="T49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49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49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49" s="74" t="n"/>
      <c r="X49" s="73" t="n"/>
      <c r="Y49" s="72" t="n"/>
      <c r="Z49" s="75" t="n"/>
      <c r="AA49" s="75" t="n"/>
      <c r="AB49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49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49" s="82">
        <f>IF(OR(tblClientes[[#This Row],[Nombre]]="",tblClientes[[#This Row],[Cumpleaños]]=""),"",MONTH(tblClientes[[#This Row],[Cumpleaños]]))</f>
        <v/>
      </c>
      <c r="AE49" s="82">
        <f>IF(OR(tblClientes[[#This Row],[Nombre]]="",tblClientes[[#This Row],[Cumpleaños]]=""),"",DAY(tblClientes[[#This Row],[Cumpleaños]]))</f>
        <v/>
      </c>
      <c r="AF49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49" s="83">
        <f>IF(OR(tblClientes[[#This Row],[Nombre]]="",tblClientes[[#This Row],[Mes cumple]]=""),"",IF(tblClientes[[#This Row],[Mes cumple]]=MONTH(TODAY()),tblClientes[[#This Row],[Día cumple]]+ROW()/100000,""))</f>
        <v/>
      </c>
      <c r="AH49" s="84">
        <f>IF(OR(tblClientes[[#This Row],[Nombre]]="",tblClientes[[#This Row],[Vehículo]]&lt;&gt;VehiculoOferta,tblClientes[[#This Row],[Fecha compra]]=""),"",1000000-tblClientes[[#This Row],[Fecha compra]])</f>
        <v/>
      </c>
      <c r="AI49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49" s="82">
        <f>IF(tblClientes[[#This Row],[Nombre]]="","",ROW())</f>
        <v/>
      </c>
    </row>
    <row r="50" ht="22" customHeight="1">
      <c r="A50" s="72" t="n"/>
      <c r="B50" s="73" t="n"/>
      <c r="C50" s="74" t="n"/>
      <c r="D50" s="74" t="n"/>
      <c r="E50" s="74" t="n"/>
      <c r="F50" s="75" t="n"/>
      <c r="G50" s="76" t="n"/>
      <c r="H50" s="77" t="n"/>
      <c r="I50" s="77" t="n"/>
      <c r="J50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50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50" s="72" t="n"/>
      <c r="M50" s="75" t="n"/>
      <c r="N50" s="73" t="n"/>
      <c r="O50" s="74" t="n"/>
      <c r="P50" s="74" t="n"/>
      <c r="Q50" s="77" t="n"/>
      <c r="R50" s="77" t="n"/>
      <c r="S50" s="77" t="n"/>
      <c r="T50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50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50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50" s="74" t="n"/>
      <c r="X50" s="73" t="n"/>
      <c r="Y50" s="72" t="n"/>
      <c r="Z50" s="75" t="n"/>
      <c r="AA50" s="75" t="n"/>
      <c r="AB50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50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50" s="82">
        <f>IF(OR(tblClientes[[#This Row],[Nombre]]="",tblClientes[[#This Row],[Cumpleaños]]=""),"",MONTH(tblClientes[[#This Row],[Cumpleaños]]))</f>
        <v/>
      </c>
      <c r="AE50" s="82">
        <f>IF(OR(tblClientes[[#This Row],[Nombre]]="",tblClientes[[#This Row],[Cumpleaños]]=""),"",DAY(tblClientes[[#This Row],[Cumpleaños]]))</f>
        <v/>
      </c>
      <c r="AF50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50" s="83">
        <f>IF(OR(tblClientes[[#This Row],[Nombre]]="",tblClientes[[#This Row],[Mes cumple]]=""),"",IF(tblClientes[[#This Row],[Mes cumple]]=MONTH(TODAY()),tblClientes[[#This Row],[Día cumple]]+ROW()/100000,""))</f>
        <v/>
      </c>
      <c r="AH50" s="84">
        <f>IF(OR(tblClientes[[#This Row],[Nombre]]="",tblClientes[[#This Row],[Vehículo]]&lt;&gt;VehiculoOferta,tblClientes[[#This Row],[Fecha compra]]=""),"",1000000-tblClientes[[#This Row],[Fecha compra]])</f>
        <v/>
      </c>
      <c r="AI50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50" s="82">
        <f>IF(tblClientes[[#This Row],[Nombre]]="","",ROW())</f>
        <v/>
      </c>
    </row>
    <row r="51" ht="22" customHeight="1">
      <c r="A51" s="72" t="n"/>
      <c r="B51" s="73" t="n"/>
      <c r="C51" s="74" t="n"/>
      <c r="D51" s="74" t="n"/>
      <c r="E51" s="74" t="n"/>
      <c r="F51" s="75" t="n"/>
      <c r="G51" s="76" t="n"/>
      <c r="H51" s="77" t="n"/>
      <c r="I51" s="77" t="n"/>
      <c r="J51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51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51" s="72" t="n"/>
      <c r="M51" s="75" t="n"/>
      <c r="N51" s="73" t="n"/>
      <c r="O51" s="74" t="n"/>
      <c r="P51" s="74" t="n"/>
      <c r="Q51" s="77" t="n"/>
      <c r="R51" s="77" t="n"/>
      <c r="S51" s="77" t="n"/>
      <c r="T51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51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51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51" s="74" t="n"/>
      <c r="X51" s="73" t="n"/>
      <c r="Y51" s="72" t="n"/>
      <c r="Z51" s="75" t="n"/>
      <c r="AA51" s="75" t="n"/>
      <c r="AB51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51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51" s="82">
        <f>IF(OR(tblClientes[[#This Row],[Nombre]]="",tblClientes[[#This Row],[Cumpleaños]]=""),"",MONTH(tblClientes[[#This Row],[Cumpleaños]]))</f>
        <v/>
      </c>
      <c r="AE51" s="82">
        <f>IF(OR(tblClientes[[#This Row],[Nombre]]="",tblClientes[[#This Row],[Cumpleaños]]=""),"",DAY(tblClientes[[#This Row],[Cumpleaños]]))</f>
        <v/>
      </c>
      <c r="AF51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51" s="83">
        <f>IF(OR(tblClientes[[#This Row],[Nombre]]="",tblClientes[[#This Row],[Mes cumple]]=""),"",IF(tblClientes[[#This Row],[Mes cumple]]=MONTH(TODAY()),tblClientes[[#This Row],[Día cumple]]+ROW()/100000,""))</f>
        <v/>
      </c>
      <c r="AH51" s="84">
        <f>IF(OR(tblClientes[[#This Row],[Nombre]]="",tblClientes[[#This Row],[Vehículo]]&lt;&gt;VehiculoOferta,tblClientes[[#This Row],[Fecha compra]]=""),"",1000000-tblClientes[[#This Row],[Fecha compra]])</f>
        <v/>
      </c>
      <c r="AI51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51" s="82">
        <f>IF(tblClientes[[#This Row],[Nombre]]="","",ROW())</f>
        <v/>
      </c>
    </row>
    <row r="52" ht="22" customHeight="1">
      <c r="A52" s="72" t="n"/>
      <c r="B52" s="73" t="n"/>
      <c r="C52" s="74" t="n"/>
      <c r="D52" s="74" t="n"/>
      <c r="E52" s="74" t="n"/>
      <c r="F52" s="75" t="n"/>
      <c r="G52" s="76" t="n"/>
      <c r="H52" s="77" t="n"/>
      <c r="I52" s="77" t="n"/>
      <c r="J52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52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52" s="72" t="n"/>
      <c r="M52" s="75" t="n"/>
      <c r="N52" s="73" t="n"/>
      <c r="O52" s="74" t="n"/>
      <c r="P52" s="74" t="n"/>
      <c r="Q52" s="77" t="n"/>
      <c r="R52" s="77" t="n"/>
      <c r="S52" s="77" t="n"/>
      <c r="T52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52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52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52" s="74" t="n"/>
      <c r="X52" s="73" t="n"/>
      <c r="Y52" s="72" t="n"/>
      <c r="Z52" s="75" t="n"/>
      <c r="AA52" s="75" t="n"/>
      <c r="AB52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52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52" s="82">
        <f>IF(OR(tblClientes[[#This Row],[Nombre]]="",tblClientes[[#This Row],[Cumpleaños]]=""),"",MONTH(tblClientes[[#This Row],[Cumpleaños]]))</f>
        <v/>
      </c>
      <c r="AE52" s="82">
        <f>IF(OR(tblClientes[[#This Row],[Nombre]]="",tblClientes[[#This Row],[Cumpleaños]]=""),"",DAY(tblClientes[[#This Row],[Cumpleaños]]))</f>
        <v/>
      </c>
      <c r="AF52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52" s="83">
        <f>IF(OR(tblClientes[[#This Row],[Nombre]]="",tblClientes[[#This Row],[Mes cumple]]=""),"",IF(tblClientes[[#This Row],[Mes cumple]]=MONTH(TODAY()),tblClientes[[#This Row],[Día cumple]]+ROW()/100000,""))</f>
        <v/>
      </c>
      <c r="AH52" s="84">
        <f>IF(OR(tblClientes[[#This Row],[Nombre]]="",tblClientes[[#This Row],[Vehículo]]&lt;&gt;VehiculoOferta,tblClientes[[#This Row],[Fecha compra]]=""),"",1000000-tblClientes[[#This Row],[Fecha compra]])</f>
        <v/>
      </c>
      <c r="AI52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52" s="82">
        <f>IF(tblClientes[[#This Row],[Nombre]]="","",ROW())</f>
        <v/>
      </c>
    </row>
    <row r="53" ht="22" customHeight="1">
      <c r="A53" s="72" t="n"/>
      <c r="B53" s="73" t="n"/>
      <c r="C53" s="74" t="n"/>
      <c r="D53" s="74" t="n"/>
      <c r="E53" s="74" t="n"/>
      <c r="F53" s="75" t="n"/>
      <c r="G53" s="76" t="n"/>
      <c r="H53" s="77" t="n"/>
      <c r="I53" s="77" t="n"/>
      <c r="J53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53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53" s="72" t="n"/>
      <c r="M53" s="75" t="n"/>
      <c r="N53" s="73" t="n"/>
      <c r="O53" s="74" t="n"/>
      <c r="P53" s="74" t="n"/>
      <c r="Q53" s="77" t="n"/>
      <c r="R53" s="77" t="n"/>
      <c r="S53" s="77" t="n"/>
      <c r="T53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53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53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53" s="74" t="n"/>
      <c r="X53" s="73" t="n"/>
      <c r="Y53" s="72" t="n"/>
      <c r="Z53" s="75" t="n"/>
      <c r="AA53" s="75" t="n"/>
      <c r="AB53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53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53" s="82">
        <f>IF(OR(tblClientes[[#This Row],[Nombre]]="",tblClientes[[#This Row],[Cumpleaños]]=""),"",MONTH(tblClientes[[#This Row],[Cumpleaños]]))</f>
        <v/>
      </c>
      <c r="AE53" s="82">
        <f>IF(OR(tblClientes[[#This Row],[Nombre]]="",tblClientes[[#This Row],[Cumpleaños]]=""),"",DAY(tblClientes[[#This Row],[Cumpleaños]]))</f>
        <v/>
      </c>
      <c r="AF53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53" s="83">
        <f>IF(OR(tblClientes[[#This Row],[Nombre]]="",tblClientes[[#This Row],[Mes cumple]]=""),"",IF(tblClientes[[#This Row],[Mes cumple]]=MONTH(TODAY()),tblClientes[[#This Row],[Día cumple]]+ROW()/100000,""))</f>
        <v/>
      </c>
      <c r="AH53" s="84">
        <f>IF(OR(tblClientes[[#This Row],[Nombre]]="",tblClientes[[#This Row],[Vehículo]]&lt;&gt;VehiculoOferta,tblClientes[[#This Row],[Fecha compra]]=""),"",1000000-tblClientes[[#This Row],[Fecha compra]])</f>
        <v/>
      </c>
      <c r="AI53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53" s="82">
        <f>IF(tblClientes[[#This Row],[Nombre]]="","",ROW())</f>
        <v/>
      </c>
    </row>
    <row r="54" ht="22" customHeight="1">
      <c r="A54" s="72" t="n"/>
      <c r="B54" s="73" t="n"/>
      <c r="C54" s="74" t="n"/>
      <c r="D54" s="74" t="n"/>
      <c r="E54" s="74" t="n"/>
      <c r="F54" s="75" t="n"/>
      <c r="G54" s="76" t="n"/>
      <c r="H54" s="77" t="n"/>
      <c r="I54" s="77" t="n"/>
      <c r="J54" s="78">
        <f>IF(tblClientes[[#This Row],[Nombre]]="","",IF(tblClientes[[#This Row],[Forma de pago]]="","Elige contado o crédito",IF(tblClientes[[#This Row],[Forma de pago]]="Contado",IF(tblClientes[[#This Row],[Fecha compra]]="","Contado",IF(DATEDIF(tblClientes[[#This Row],[Fecha compra]],TODAY(),"M")&lt;RenovarContado,"Contado","Ofrecer renovación")),IF(tblClientes[[#This Row],[Fecha compra]]="","Completar datos",IF(tblClientes[[#This Row],[Plazo meses]]="","Completar datos",IF(tblClientes[[#This Row],[Valor cuota]]="","Completar datos",IF(tblClientes[[#This Row],[Meses]]&lt;0,"Crédito terminado",IF(tblClientes[[#This Row],[Meses]]&lt;=AvisoCredito,"Renovar ahora",IF(tblClientes[[#This Row],[Meses]]&lt;=MesesPronto,"Pronto","En curso")))))))))</f>
        <v/>
      </c>
      <c r="K54" s="78">
        <f>IF(tblClientes[[#This Row],[Nombre]]="","",IF(tblClientes[[#This Row],[Forma de pago]]="Contado",IF(tblClientes[[#This Row],[Fecha compra]]="","","Compró hace "&amp;DATEDIF(tblClientes[[#This Row],[Fecha compra]],TODAY(),"M")&amp;" meses"),IF(tblClientes[[#This Row],[Forma de pago]]&lt;&gt;"Crédito","",IF(tblClientes[[#This Row],[Meses]]="","Falta plazo o cuota",IF(tblClientes[[#This Row],[Meses]]&lt;0,"Terminó hace "&amp;ABS(tblClientes[[#This Row],[Meses]])&amp;" meses",IF(tblClientes[[#This Row],[Meses]]=0,"Termina este mes","Quedan "&amp;tblClientes[[#This Row],[Meses]]&amp;" meses"))))))</f>
        <v/>
      </c>
      <c r="L54" s="72" t="n"/>
      <c r="M54" s="75" t="n"/>
      <c r="N54" s="73" t="n"/>
      <c r="O54" s="74" t="n"/>
      <c r="P54" s="74" t="n"/>
      <c r="Q54" s="77" t="n"/>
      <c r="R54" s="77" t="n"/>
      <c r="S54" s="77" t="n"/>
      <c r="T54" s="79">
        <f>IF(tblClientes[[#This Row],[Nombre]]="","",IF(AND(tblClientes[[#This Row],[Valor vehículo]]="",tblClientes[[#This Row],[Documentación]]=""),"",N(tblClientes[[#This Row],[Valor vehículo]])+N(tblClientes[[#This Row],[Documentación]])))</f>
        <v/>
      </c>
      <c r="U54" s="80">
        <f>IF(tblClientes[[#This Row],[Nombre]]="","",IF(tblClientes[[#This Row],[Valor vehículo]]="","",IF(tblClientes[[#This Row],[Valor vehículo]]=0,"",IF(tblClientes[[#This Row],[Pie]]="","",tblClientes[[#This Row],[Pie]]/tblClientes[[#This Row],[Valor vehículo]]))))</f>
        <v/>
      </c>
      <c r="V54" s="81">
        <f>IF(tblClientes[[#This Row],[Nombre]]="","",IF(tblClientes[[#This Row],[Forma de pago]]&lt;&gt;"Crédito","",IF(tblClientes[[#This Row],[Fecha compra]]="","",IF(tblClientes[[#This Row],[Plazo meses]]="","",EDATE(tblClientes[[#This Row],[Fecha compra]],tblClientes[[#This Row],[Plazo meses]])))))</f>
        <v/>
      </c>
      <c r="W54" s="74" t="n"/>
      <c r="X54" s="73" t="n"/>
      <c r="Y54" s="72" t="n"/>
      <c r="Z54" s="75" t="n"/>
      <c r="AA54" s="75" t="n"/>
      <c r="AB54" s="82">
        <f>IF(tblClientes[[#This Row],[Nombre]]="","",IF(tblClientes[[#This Row],[Forma de pago]]&lt;&gt;"Crédito","",IF(tblClientes[[#This Row],[Fecha compra]]="","",IF(tblClientes[[#This Row],[Plazo meses]]="","",IF(EDATE(tblClientes[[#This Row],[Fecha compra]],tblClientes[[#This Row],[Plazo meses]])&lt;TODAY(),-DATEDIF(EDATE(tblClientes[[#This Row],[Fecha compra]],tblClientes[[#This Row],[Plazo meses]]),TODAY(),"M"),DATEDIF(TODAY(),EDATE(tblClientes[[#This Row],[Fecha compra]],tblClientes[[#This Row],[Plazo meses]]),"M"))))))</f>
        <v/>
      </c>
      <c r="AC54" s="82">
        <f>IF(tblClientes[[#This Row],[Estado]]="","",IF(tblClientes[[#This Row],[Estado]]="Crédito terminado",1,IF(tblClientes[[#This Row],[Estado]]="Renovar ahora",2,IF(tblClientes[[#This Row],[Estado]]="Ofrecer renovación",3,IF(tblClientes[[#This Row],[Estado]]="Pronto",4,IF(tblClientes[[#This Row],[Estado]]="Completar datos",5,IF(tblClientes[[#This Row],[Estado]]="En curso",8,IF(tblClientes[[#This Row],[Estado]]="Contado",9,5))))))))</f>
        <v/>
      </c>
      <c r="AD54" s="82">
        <f>IF(OR(tblClientes[[#This Row],[Nombre]]="",tblClientes[[#This Row],[Cumpleaños]]=""),"",MONTH(tblClientes[[#This Row],[Cumpleaños]]))</f>
        <v/>
      </c>
      <c r="AE54" s="82">
        <f>IF(OR(tblClientes[[#This Row],[Nombre]]="",tblClientes[[#This Row],[Cumpleaños]]=""),"",DAY(tblClientes[[#This Row],[Cumpleaños]]))</f>
        <v/>
      </c>
      <c r="AF54" s="83">
        <f>IF(tblClientes[[#This Row],[Nombre]]="","",IF(OR(tblClientes[[#This Row],[Estado]]="Crédito terminado",tblClientes[[#This Row],[Estado]]="Renovar ahora",tblClientes[[#This Row],[Estado]]="Ofrecer renovación",tblClientes[[#This Row],[Estado]]="Pronto"),tblClientes[[#This Row],[Prioridad]]+ROW()/100000,""))</f>
        <v/>
      </c>
      <c r="AG54" s="83">
        <f>IF(OR(tblClientes[[#This Row],[Nombre]]="",tblClientes[[#This Row],[Mes cumple]]=""),"",IF(tblClientes[[#This Row],[Mes cumple]]=MONTH(TODAY()),tblClientes[[#This Row],[Día cumple]]+ROW()/100000,""))</f>
        <v/>
      </c>
      <c r="AH54" s="84">
        <f>IF(OR(tblClientes[[#This Row],[Nombre]]="",tblClientes[[#This Row],[Vehículo]]&lt;&gt;VehiculoOferta,tblClientes[[#This Row],[Fecha compra]]=""),"",1000000-tblClientes[[#This Row],[Fecha compra]])</f>
        <v/>
      </c>
      <c r="AI54" s="82">
        <f>IF(OR(tblClientes[[#This Row],[Nombre]]="",tblClientes[[#This Row],[Vehículo]]&lt;&gt;VehiculoOferta,tblClientes[[#This Row],[Forma de pago]]&lt;&gt;"Crédito",tblClientes[[#This Row],[Plazo meses]]=""),"",tblClientes[[#This Row],[Plazo meses]])</f>
        <v/>
      </c>
      <c r="AJ54" s="82">
        <f>IF(tblClientes[[#This Row],[Nombre]]="","",ROW())</f>
        <v/>
      </c>
    </row>
  </sheetData>
  <sheetProtection selectLockedCells="1" selectUnlockedCells="1" sheet="1" objects="0" insertRows="0" insertHyperlinks="1" autoFilter="1" scenarios="0" formatColumns="1" deleteColumns="0" insertColumns="0" pivotTables="0" deleteRows="0" formatCells="0" formatRows="1" sort="1"/>
  <mergeCells count="8">
    <mergeCell ref="Z3:AA3"/>
    <mergeCell ref="J3:K3"/>
    <mergeCell ref="O3:V3"/>
    <mergeCell ref="W3:Y3"/>
    <mergeCell ref="A2:AJ2"/>
    <mergeCell ref="A3:I3"/>
    <mergeCell ref="L3:N3"/>
    <mergeCell ref="A1:AJ1"/>
  </mergeCells>
  <conditionalFormatting sqref="J5:J54">
    <cfRule type="expression" priority="1" dxfId="0" stopIfTrue="1">
      <formula>$J5="Renovar ahora"</formula>
    </cfRule>
    <cfRule type="expression" priority="2" dxfId="1" stopIfTrue="1">
      <formula>$J5="Crédito terminado"</formula>
    </cfRule>
    <cfRule type="expression" priority="3" dxfId="3" stopIfTrue="1">
      <formula>$J5="Ofrecer renovación"</formula>
    </cfRule>
    <cfRule type="expression" priority="4" dxfId="2" stopIfTrue="1">
      <formula>$J5="Pronto"</formula>
    </cfRule>
    <cfRule type="expression" priority="5" dxfId="4" stopIfTrue="1">
      <formula>$J5="Completar datos"</formula>
    </cfRule>
    <cfRule type="expression" priority="6" dxfId="4" stopIfTrue="1">
      <formula>$J5="Elige contado o crédito"</formula>
    </cfRule>
    <cfRule type="expression" priority="7" dxfId="5" stopIfTrue="1">
      <formula>$J5="En curso"</formula>
    </cfRule>
    <cfRule type="expression" priority="8" dxfId="6" stopIfTrue="1">
      <formula>$J5="Contado"</formula>
    </cfRule>
  </conditionalFormatting>
  <conditionalFormatting sqref="A5:A54 B5:B54 C5:C54 D5:D54 E5:E54 F5:F54 G5:G54 H5:H54 I5:I54 L5:L54 M5:M54 N5:N54 O5:O54 P5:P54 Q5:Q54 R5:R54 S5:S54 W5:W54 X5:X54 Y5:Y54 Z5:Z54 AA5:AA54">
    <cfRule type="expression" priority="9" dxfId="7" stopIfTrue="1">
      <formula>AND($B5="",$B4&lt;&gt;"")</formula>
    </cfRule>
    <cfRule type="expression" priority="11" dxfId="8" stopIfTrue="0">
      <formula>$B5&lt;&gt;""</formula>
    </cfRule>
    <cfRule type="expression" priority="12" dxfId="9" stopIfTrue="0">
      <formula>$B5=""</formula>
    </cfRule>
  </conditionalFormatting>
  <conditionalFormatting sqref="G5:H54">
    <cfRule type="expression" priority="10" dxfId="10" stopIfTrue="1">
      <formula>AND($F5="Contado",$B5&lt;&gt;"")</formula>
    </cfRule>
  </conditionalFormatting>
  <conditionalFormatting sqref="J5:J54 K5:K54 T5:T54 U5:U54 V5:V54">
    <cfRule type="expression" priority="13" dxfId="10" stopIfTrue="0">
      <formula>$B5&lt;&gt;""</formula>
    </cfRule>
  </conditionalFormatting>
  <conditionalFormatting sqref="F5:F54">
    <cfRule type="expression" priority="14" dxfId="6" stopIfTrue="1">
      <formula>$F5="Contado"</formula>
    </cfRule>
    <cfRule type="expression" priority="15" dxfId="5" stopIfTrue="1">
      <formula>$F5="Crédito"</formula>
    </cfRule>
  </conditionalFormatting>
  <conditionalFormatting sqref="M5:M54">
    <cfRule type="expression" priority="16" dxfId="6" stopIfTrue="1">
      <formula>$M5="Sí"</formula>
    </cfRule>
  </conditionalFormatting>
  <conditionalFormatting sqref="Z5:Z54">
    <cfRule type="expression" priority="17" dxfId="6" stopIfTrue="1">
      <formula>$Z5="Sí"</formula>
    </cfRule>
  </conditionalFormatting>
  <conditionalFormatting sqref="AA5:AA54">
    <cfRule type="expression" priority="18" dxfId="6" stopIfTrue="1">
      <formula>$AA5="Alto"</formula>
    </cfRule>
    <cfRule type="expression" priority="19" dxfId="11" stopIfTrue="1">
      <formula>$AA5="Bajo"</formula>
    </cfRule>
  </conditionalFormatting>
  <conditionalFormatting sqref="W5:W54">
    <cfRule type="expression" priority="20" dxfId="12" stopIfTrue="1">
      <formula>AND($W5&lt;&gt;"",COUNTIF($W$5:$W$54,$W5)&gt;1)</formula>
    </cfRule>
  </conditionalFormatting>
  <dataValidations count="9">
    <dataValidation sqref="D5:D54" showDropDown="0" showInputMessage="1" showErrorMessage="1" allowBlank="1" errorTitle="Lista" error="Puedes elegir de la lista o escribir otro valor." promptTitle="Elige" prompt="Elige el modelo" type="list" errorStyle="warning">
      <formula1>=ListaVehiculos</formula1>
    </dataValidation>
    <dataValidation sqref="E5:E54" showDropDown="0" showInputMessage="1" showErrorMessage="1" allowBlank="1" errorTitle="Lista" error="Puedes elegir de la lista o escribir otro valor." promptTitle="Elige" prompt="Elige la versión" type="list" errorStyle="warning">
      <formula1>=INDIRECT(SUBSTITUTE(SUBSTITUTE(D5,"-","_")," ",""))</formula1>
    </dataValidation>
    <dataValidation sqref="F5:F54" showDropDown="0" showInputMessage="1" showErrorMessage="1" allowBlank="1" errorTitle="Lista" error="Puedes elegir de la lista o escribir otro valor." promptTitle="Elige" prompt="Contado o crédito" type="list" errorStyle="warning">
      <formula1>=ListaForma</formula1>
    </dataValidation>
    <dataValidation sqref="G5:G54" showDropDown="0" showInputMessage="1" showErrorMessage="1" allowBlank="1" errorTitle="Lista" error="Puedes elegir de la lista o escribir otro valor." promptTitle="Elige" prompt="Meses del crédito" type="list" errorStyle="warning">
      <formula1>=ListaPlazo</formula1>
    </dataValidation>
    <dataValidation sqref="O5:O54" showDropDown="0" showInputMessage="1" showErrorMessage="1" allowBlank="1" errorTitle="Lista" error="Puedes elegir de la lista o escribir otro valor." promptTitle="Elige" prompt="Tipo de negocio" type="list" errorStyle="warning">
      <formula1>=ListaProducto</formula1>
    </dataValidation>
    <dataValidation sqref="P5:P54" showDropDown="0" showInputMessage="1" showErrorMessage="1" allowBlank="1" errorTitle="Lista" error="Puedes elegir de la lista o escribir otro valor." promptTitle="Elige" prompt="Color del auto" type="list" errorStyle="warning">
      <formula1>=ListaColor</formula1>
    </dataValidation>
    <dataValidation sqref="M5:M54" showDropDown="0" showInputMessage="1" showErrorMessage="1" allowBlank="1" errorTitle="Lista" error="Puedes elegir de la lista o escribir otro valor." promptTitle="Elige" prompt="Sí o No" type="list" errorStyle="warning">
      <formula1>=ListaSiNo</formula1>
    </dataValidation>
    <dataValidation sqref="Z5:Z54" showDropDown="0" showInputMessage="1" showErrorMessage="1" allowBlank="1" errorTitle="Lista" error="Puedes elegir de la lista o escribir otro valor." promptTitle="Elige" prompt="Sí o No" type="list" errorStyle="warning">
      <formula1>=ListaSiNo</formula1>
    </dataValidation>
    <dataValidation sqref="AA5:AA54" showDropDown="0" showInputMessage="1" showErrorMessage="1" allowBlank="1" errorTitle="Lista" error="Puedes elegir de la lista o escribir otro valor." promptTitle="Elige" prompt="Qué tanto le interesa" type="list" errorStyle="warning">
      <formula1>=ListaInteres</formula1>
    </dataValidation>
  </dataValidations>
  <pageMargins left="0.35" right="0.35" top="0.45" bottom="0.4" header="0.5" footer="0.5"/>
  <pageSetup orientation="landscape" paperSize="9" fitToHeight="0" fitToWidth="1"/>
  <headerFooter>
    <oddHeader/>
    <oddFooter>&amp;LCartera Honda&amp;RPágina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8A5A00"/>
    <outlinePr summaryBelow="1" summaryRight="1"/>
    <pageSetUpPr fitToPage="1"/>
  </sheetPr>
  <dimension ref="A1:J3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2" customWidth="1" min="7" max="7"/>
    <col width="28" customWidth="1" min="8" max="8"/>
    <col width="20" customWidth="1" min="9" max="9"/>
    <col width="40" customWidth="1" min="10" max="10"/>
  </cols>
  <sheetData>
    <row r="1" ht="36" customHeight="1">
      <c r="A1" s="1" t="inlineStr">
        <is>
          <t>RENOVACIONES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Para anotar el llamado, márcalo en la hoja Clientes.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6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30" customHeight="1">
      <c r="A4" s="67" t="inlineStr">
        <is>
          <t>Nombre</t>
        </is>
      </c>
      <c r="B4" s="67" t="inlineStr">
        <is>
          <t>Teléfono</t>
        </is>
      </c>
      <c r="C4" s="67" t="inlineStr">
        <is>
          <t>Vehículo</t>
        </is>
      </c>
      <c r="D4" s="67" t="inlineStr">
        <is>
          <t>Versión</t>
        </is>
      </c>
      <c r="E4" s="67" t="inlineStr">
        <is>
          <t>Cuota</t>
        </is>
      </c>
      <c r="F4" s="67" t="inlineStr">
        <is>
          <t>Plazo</t>
        </is>
      </c>
      <c r="G4" s="67" t="inlineStr">
        <is>
          <t>Estado</t>
        </is>
      </c>
      <c r="H4" s="67" t="inlineStr">
        <is>
          <t>Cuándo</t>
        </is>
      </c>
      <c r="I4" s="67" t="inlineStr">
        <is>
          <t>Próximo contacto</t>
        </is>
      </c>
      <c r="J4" s="67" t="inlineStr">
        <is>
          <t>Nota</t>
        </is>
      </c>
    </row>
    <row r="5" ht="22" customHeight="1">
      <c r="A5" s="56">
        <f>IFERROR(INDEX(tblClientes[Nombre],MATCH(SMALL(tblClientes[Orden],ROWS($A$5:A5)),tblClientes[Orden],0)),"")</f>
        <v/>
      </c>
      <c r="B5" s="57">
        <f>IFERROR(INDEX(tblClientes[Teléfono],MATCH(SMALL(tblClientes[Orden],ROWS($A$5:A5)),tblClientes[Orden],0)),"")</f>
        <v/>
      </c>
      <c r="C5" s="56">
        <f>IFERROR(INDEX(tblClientes[Vehículo],MATCH(SMALL(tblClientes[Orden],ROWS($A$5:A5)),tblClientes[Orden],0)),"")</f>
        <v/>
      </c>
      <c r="D5" s="56">
        <f>IFERROR(INDEX(tblClientes[Versión],MATCH(SMALL(tblClientes[Orden],ROWS($A$5:A5)),tblClientes[Orden],0)),"")</f>
        <v/>
      </c>
      <c r="E5" s="58">
        <f>IFERROR(INDEX(tblClientes[Valor cuota],MATCH(SMALL(tblClientes[Orden],ROWS($A$5:A5)),tblClientes[Orden],0)),"")</f>
        <v/>
      </c>
      <c r="F5" s="85">
        <f>IFERROR(INDEX(tblClientes[Plazo meses],MATCH(SMALL(tblClientes[Orden],ROWS($A$5:A5)),tblClientes[Orden],0)),"")</f>
        <v/>
      </c>
      <c r="G5" s="56">
        <f>IFERROR(INDEX(tblClientes[Estado],MATCH(SMALL(tblClientes[Orden],ROWS($A$5:A5)),tblClientes[Orden],0)),"")</f>
        <v/>
      </c>
      <c r="H5" s="56">
        <f>IFERROR(INDEX(tblClientes[Cuándo],MATCH(SMALL(tblClientes[Orden],ROWS($A$5:A5)),tblClientes[Orden],0)),"")</f>
        <v/>
      </c>
      <c r="I5" s="86">
        <f>IFERROR(INDEX(tblClientes[Próximo contacto],MATCH(SMALL(tblClientes[Orden],ROWS($A$5:A5)),tblClientes[Orden],0)),"")</f>
        <v/>
      </c>
      <c r="J5" s="56">
        <f>IFERROR(INDEX(tblClientes[Nota],MATCH(SMALL(tblClientes[Orden],ROWS($A$5:A5)),tblClientes[Orden],0)),"")</f>
        <v/>
      </c>
    </row>
    <row r="6" ht="22" customHeight="1">
      <c r="A6" s="56">
        <f>IFERROR(INDEX(tblClientes[Nombre],MATCH(SMALL(tblClientes[Orden],ROWS($A$5:A6)),tblClientes[Orden],0)),"")</f>
        <v/>
      </c>
      <c r="B6" s="57">
        <f>IFERROR(INDEX(tblClientes[Teléfono],MATCH(SMALL(tblClientes[Orden],ROWS($A$5:A6)),tblClientes[Orden],0)),"")</f>
        <v/>
      </c>
      <c r="C6" s="56">
        <f>IFERROR(INDEX(tblClientes[Vehículo],MATCH(SMALL(tblClientes[Orden],ROWS($A$5:A6)),tblClientes[Orden],0)),"")</f>
        <v/>
      </c>
      <c r="D6" s="56">
        <f>IFERROR(INDEX(tblClientes[Versión],MATCH(SMALL(tblClientes[Orden],ROWS($A$5:A6)),tblClientes[Orden],0)),"")</f>
        <v/>
      </c>
      <c r="E6" s="58">
        <f>IFERROR(INDEX(tblClientes[Valor cuota],MATCH(SMALL(tblClientes[Orden],ROWS($A$5:A6)),tblClientes[Orden],0)),"")</f>
        <v/>
      </c>
      <c r="F6" s="85">
        <f>IFERROR(INDEX(tblClientes[Plazo meses],MATCH(SMALL(tblClientes[Orden],ROWS($A$5:A6)),tblClientes[Orden],0)),"")</f>
        <v/>
      </c>
      <c r="G6" s="56">
        <f>IFERROR(INDEX(tblClientes[Estado],MATCH(SMALL(tblClientes[Orden],ROWS($A$5:A6)),tblClientes[Orden],0)),"")</f>
        <v/>
      </c>
      <c r="H6" s="56">
        <f>IFERROR(INDEX(tblClientes[Cuándo],MATCH(SMALL(tblClientes[Orden],ROWS($A$5:A6)),tblClientes[Orden],0)),"")</f>
        <v/>
      </c>
      <c r="I6" s="86">
        <f>IFERROR(INDEX(tblClientes[Próximo contacto],MATCH(SMALL(tblClientes[Orden],ROWS($A$5:A6)),tblClientes[Orden],0)),"")</f>
        <v/>
      </c>
      <c r="J6" s="56">
        <f>IFERROR(INDEX(tblClientes[Nota],MATCH(SMALL(tblClientes[Orden],ROWS($A$5:A6)),tblClientes[Orden],0)),"")</f>
        <v/>
      </c>
    </row>
    <row r="7" ht="22" customHeight="1">
      <c r="A7" s="56">
        <f>IFERROR(INDEX(tblClientes[Nombre],MATCH(SMALL(tblClientes[Orden],ROWS($A$5:A7)),tblClientes[Orden],0)),"")</f>
        <v/>
      </c>
      <c r="B7" s="57">
        <f>IFERROR(INDEX(tblClientes[Teléfono],MATCH(SMALL(tblClientes[Orden],ROWS($A$5:A7)),tblClientes[Orden],0)),"")</f>
        <v/>
      </c>
      <c r="C7" s="56">
        <f>IFERROR(INDEX(tblClientes[Vehículo],MATCH(SMALL(tblClientes[Orden],ROWS($A$5:A7)),tblClientes[Orden],0)),"")</f>
        <v/>
      </c>
      <c r="D7" s="56">
        <f>IFERROR(INDEX(tblClientes[Versión],MATCH(SMALL(tblClientes[Orden],ROWS($A$5:A7)),tblClientes[Orden],0)),"")</f>
        <v/>
      </c>
      <c r="E7" s="58">
        <f>IFERROR(INDEX(tblClientes[Valor cuota],MATCH(SMALL(tblClientes[Orden],ROWS($A$5:A7)),tblClientes[Orden],0)),"")</f>
        <v/>
      </c>
      <c r="F7" s="85">
        <f>IFERROR(INDEX(tblClientes[Plazo meses],MATCH(SMALL(tblClientes[Orden],ROWS($A$5:A7)),tblClientes[Orden],0)),"")</f>
        <v/>
      </c>
      <c r="G7" s="56">
        <f>IFERROR(INDEX(tblClientes[Estado],MATCH(SMALL(tblClientes[Orden],ROWS($A$5:A7)),tblClientes[Orden],0)),"")</f>
        <v/>
      </c>
      <c r="H7" s="56">
        <f>IFERROR(INDEX(tblClientes[Cuándo],MATCH(SMALL(tblClientes[Orden],ROWS($A$5:A7)),tblClientes[Orden],0)),"")</f>
        <v/>
      </c>
      <c r="I7" s="86">
        <f>IFERROR(INDEX(tblClientes[Próximo contacto],MATCH(SMALL(tblClientes[Orden],ROWS($A$5:A7)),tblClientes[Orden],0)),"")</f>
        <v/>
      </c>
      <c r="J7" s="56">
        <f>IFERROR(INDEX(tblClientes[Nota],MATCH(SMALL(tblClientes[Orden],ROWS($A$5:A7)),tblClientes[Orden],0)),"")</f>
        <v/>
      </c>
    </row>
    <row r="8" ht="22" customHeight="1">
      <c r="A8" s="56">
        <f>IFERROR(INDEX(tblClientes[Nombre],MATCH(SMALL(tblClientes[Orden],ROWS($A$5:A8)),tblClientes[Orden],0)),"")</f>
        <v/>
      </c>
      <c r="B8" s="57">
        <f>IFERROR(INDEX(tblClientes[Teléfono],MATCH(SMALL(tblClientes[Orden],ROWS($A$5:A8)),tblClientes[Orden],0)),"")</f>
        <v/>
      </c>
      <c r="C8" s="56">
        <f>IFERROR(INDEX(tblClientes[Vehículo],MATCH(SMALL(tblClientes[Orden],ROWS($A$5:A8)),tblClientes[Orden],0)),"")</f>
        <v/>
      </c>
      <c r="D8" s="56">
        <f>IFERROR(INDEX(tblClientes[Versión],MATCH(SMALL(tblClientes[Orden],ROWS($A$5:A8)),tblClientes[Orden],0)),"")</f>
        <v/>
      </c>
      <c r="E8" s="58">
        <f>IFERROR(INDEX(tblClientes[Valor cuota],MATCH(SMALL(tblClientes[Orden],ROWS($A$5:A8)),tblClientes[Orden],0)),"")</f>
        <v/>
      </c>
      <c r="F8" s="85">
        <f>IFERROR(INDEX(tblClientes[Plazo meses],MATCH(SMALL(tblClientes[Orden],ROWS($A$5:A8)),tblClientes[Orden],0)),"")</f>
        <v/>
      </c>
      <c r="G8" s="56">
        <f>IFERROR(INDEX(tblClientes[Estado],MATCH(SMALL(tblClientes[Orden],ROWS($A$5:A8)),tblClientes[Orden],0)),"")</f>
        <v/>
      </c>
      <c r="H8" s="56">
        <f>IFERROR(INDEX(tblClientes[Cuándo],MATCH(SMALL(tblClientes[Orden],ROWS($A$5:A8)),tblClientes[Orden],0)),"")</f>
        <v/>
      </c>
      <c r="I8" s="86">
        <f>IFERROR(INDEX(tblClientes[Próximo contacto],MATCH(SMALL(tblClientes[Orden],ROWS($A$5:A8)),tblClientes[Orden],0)),"")</f>
        <v/>
      </c>
      <c r="J8" s="56">
        <f>IFERROR(INDEX(tblClientes[Nota],MATCH(SMALL(tblClientes[Orden],ROWS($A$5:A8)),tblClientes[Orden],0)),"")</f>
        <v/>
      </c>
    </row>
    <row r="9" ht="22" customHeight="1">
      <c r="A9" s="56">
        <f>IFERROR(INDEX(tblClientes[Nombre],MATCH(SMALL(tblClientes[Orden],ROWS($A$5:A9)),tblClientes[Orden],0)),"")</f>
        <v/>
      </c>
      <c r="B9" s="57">
        <f>IFERROR(INDEX(tblClientes[Teléfono],MATCH(SMALL(tblClientes[Orden],ROWS($A$5:A9)),tblClientes[Orden],0)),"")</f>
        <v/>
      </c>
      <c r="C9" s="56">
        <f>IFERROR(INDEX(tblClientes[Vehículo],MATCH(SMALL(tblClientes[Orden],ROWS($A$5:A9)),tblClientes[Orden],0)),"")</f>
        <v/>
      </c>
      <c r="D9" s="56">
        <f>IFERROR(INDEX(tblClientes[Versión],MATCH(SMALL(tblClientes[Orden],ROWS($A$5:A9)),tblClientes[Orden],0)),"")</f>
        <v/>
      </c>
      <c r="E9" s="58">
        <f>IFERROR(INDEX(tblClientes[Valor cuota],MATCH(SMALL(tblClientes[Orden],ROWS($A$5:A9)),tblClientes[Orden],0)),"")</f>
        <v/>
      </c>
      <c r="F9" s="85">
        <f>IFERROR(INDEX(tblClientes[Plazo meses],MATCH(SMALL(tblClientes[Orden],ROWS($A$5:A9)),tblClientes[Orden],0)),"")</f>
        <v/>
      </c>
      <c r="G9" s="56">
        <f>IFERROR(INDEX(tblClientes[Estado],MATCH(SMALL(tblClientes[Orden],ROWS($A$5:A9)),tblClientes[Orden],0)),"")</f>
        <v/>
      </c>
      <c r="H9" s="56">
        <f>IFERROR(INDEX(tblClientes[Cuándo],MATCH(SMALL(tblClientes[Orden],ROWS($A$5:A9)),tblClientes[Orden],0)),"")</f>
        <v/>
      </c>
      <c r="I9" s="86">
        <f>IFERROR(INDEX(tblClientes[Próximo contacto],MATCH(SMALL(tblClientes[Orden],ROWS($A$5:A9)),tblClientes[Orden],0)),"")</f>
        <v/>
      </c>
      <c r="J9" s="56">
        <f>IFERROR(INDEX(tblClientes[Nota],MATCH(SMALL(tblClientes[Orden],ROWS($A$5:A9)),tblClientes[Orden],0)),"")</f>
        <v/>
      </c>
    </row>
    <row r="10" ht="22" customHeight="1">
      <c r="A10" s="56">
        <f>IFERROR(INDEX(tblClientes[Nombre],MATCH(SMALL(tblClientes[Orden],ROWS($A$5:A10)),tblClientes[Orden],0)),"")</f>
        <v/>
      </c>
      <c r="B10" s="57">
        <f>IFERROR(INDEX(tblClientes[Teléfono],MATCH(SMALL(tblClientes[Orden],ROWS($A$5:A10)),tblClientes[Orden],0)),"")</f>
        <v/>
      </c>
      <c r="C10" s="56">
        <f>IFERROR(INDEX(tblClientes[Vehículo],MATCH(SMALL(tblClientes[Orden],ROWS($A$5:A10)),tblClientes[Orden],0)),"")</f>
        <v/>
      </c>
      <c r="D10" s="56">
        <f>IFERROR(INDEX(tblClientes[Versión],MATCH(SMALL(tblClientes[Orden],ROWS($A$5:A10)),tblClientes[Orden],0)),"")</f>
        <v/>
      </c>
      <c r="E10" s="58">
        <f>IFERROR(INDEX(tblClientes[Valor cuota],MATCH(SMALL(tblClientes[Orden],ROWS($A$5:A10)),tblClientes[Orden],0)),"")</f>
        <v/>
      </c>
      <c r="F10" s="85">
        <f>IFERROR(INDEX(tblClientes[Plazo meses],MATCH(SMALL(tblClientes[Orden],ROWS($A$5:A10)),tblClientes[Orden],0)),"")</f>
        <v/>
      </c>
      <c r="G10" s="56">
        <f>IFERROR(INDEX(tblClientes[Estado],MATCH(SMALL(tblClientes[Orden],ROWS($A$5:A10)),tblClientes[Orden],0)),"")</f>
        <v/>
      </c>
      <c r="H10" s="56">
        <f>IFERROR(INDEX(tblClientes[Cuándo],MATCH(SMALL(tblClientes[Orden],ROWS($A$5:A10)),tblClientes[Orden],0)),"")</f>
        <v/>
      </c>
      <c r="I10" s="86">
        <f>IFERROR(INDEX(tblClientes[Próximo contacto],MATCH(SMALL(tblClientes[Orden],ROWS($A$5:A10)),tblClientes[Orden],0)),"")</f>
        <v/>
      </c>
      <c r="J10" s="56">
        <f>IFERROR(INDEX(tblClientes[Nota],MATCH(SMALL(tblClientes[Orden],ROWS($A$5:A10)),tblClientes[Orden],0)),"")</f>
        <v/>
      </c>
    </row>
    <row r="11" ht="22" customHeight="1">
      <c r="A11" s="56">
        <f>IFERROR(INDEX(tblClientes[Nombre],MATCH(SMALL(tblClientes[Orden],ROWS($A$5:A11)),tblClientes[Orden],0)),"")</f>
        <v/>
      </c>
      <c r="B11" s="57">
        <f>IFERROR(INDEX(tblClientes[Teléfono],MATCH(SMALL(tblClientes[Orden],ROWS($A$5:A11)),tblClientes[Orden],0)),"")</f>
        <v/>
      </c>
      <c r="C11" s="56">
        <f>IFERROR(INDEX(tblClientes[Vehículo],MATCH(SMALL(tblClientes[Orden],ROWS($A$5:A11)),tblClientes[Orden],0)),"")</f>
        <v/>
      </c>
      <c r="D11" s="56">
        <f>IFERROR(INDEX(tblClientes[Versión],MATCH(SMALL(tblClientes[Orden],ROWS($A$5:A11)),tblClientes[Orden],0)),"")</f>
        <v/>
      </c>
      <c r="E11" s="58">
        <f>IFERROR(INDEX(tblClientes[Valor cuota],MATCH(SMALL(tblClientes[Orden],ROWS($A$5:A11)),tblClientes[Orden],0)),"")</f>
        <v/>
      </c>
      <c r="F11" s="85">
        <f>IFERROR(INDEX(tblClientes[Plazo meses],MATCH(SMALL(tblClientes[Orden],ROWS($A$5:A11)),tblClientes[Orden],0)),"")</f>
        <v/>
      </c>
      <c r="G11" s="56">
        <f>IFERROR(INDEX(tblClientes[Estado],MATCH(SMALL(tblClientes[Orden],ROWS($A$5:A11)),tblClientes[Orden],0)),"")</f>
        <v/>
      </c>
      <c r="H11" s="56">
        <f>IFERROR(INDEX(tblClientes[Cuándo],MATCH(SMALL(tblClientes[Orden],ROWS($A$5:A11)),tblClientes[Orden],0)),"")</f>
        <v/>
      </c>
      <c r="I11" s="86">
        <f>IFERROR(INDEX(tblClientes[Próximo contacto],MATCH(SMALL(tblClientes[Orden],ROWS($A$5:A11)),tblClientes[Orden],0)),"")</f>
        <v/>
      </c>
      <c r="J11" s="56">
        <f>IFERROR(INDEX(tblClientes[Nota],MATCH(SMALL(tblClientes[Orden],ROWS($A$5:A11)),tblClientes[Orden],0)),"")</f>
        <v/>
      </c>
    </row>
    <row r="12" ht="22" customHeight="1">
      <c r="A12" s="56">
        <f>IFERROR(INDEX(tblClientes[Nombre],MATCH(SMALL(tblClientes[Orden],ROWS($A$5:A12)),tblClientes[Orden],0)),"")</f>
        <v/>
      </c>
      <c r="B12" s="57">
        <f>IFERROR(INDEX(tblClientes[Teléfono],MATCH(SMALL(tblClientes[Orden],ROWS($A$5:A12)),tblClientes[Orden],0)),"")</f>
        <v/>
      </c>
      <c r="C12" s="56">
        <f>IFERROR(INDEX(tblClientes[Vehículo],MATCH(SMALL(tblClientes[Orden],ROWS($A$5:A12)),tblClientes[Orden],0)),"")</f>
        <v/>
      </c>
      <c r="D12" s="56">
        <f>IFERROR(INDEX(tblClientes[Versión],MATCH(SMALL(tblClientes[Orden],ROWS($A$5:A12)),tblClientes[Orden],0)),"")</f>
        <v/>
      </c>
      <c r="E12" s="58">
        <f>IFERROR(INDEX(tblClientes[Valor cuota],MATCH(SMALL(tblClientes[Orden],ROWS($A$5:A12)),tblClientes[Orden],0)),"")</f>
        <v/>
      </c>
      <c r="F12" s="85">
        <f>IFERROR(INDEX(tblClientes[Plazo meses],MATCH(SMALL(tblClientes[Orden],ROWS($A$5:A12)),tblClientes[Orden],0)),"")</f>
        <v/>
      </c>
      <c r="G12" s="56">
        <f>IFERROR(INDEX(tblClientes[Estado],MATCH(SMALL(tblClientes[Orden],ROWS($A$5:A12)),tblClientes[Orden],0)),"")</f>
        <v/>
      </c>
      <c r="H12" s="56">
        <f>IFERROR(INDEX(tblClientes[Cuándo],MATCH(SMALL(tblClientes[Orden],ROWS($A$5:A12)),tblClientes[Orden],0)),"")</f>
        <v/>
      </c>
      <c r="I12" s="86">
        <f>IFERROR(INDEX(tblClientes[Próximo contacto],MATCH(SMALL(tblClientes[Orden],ROWS($A$5:A12)),tblClientes[Orden],0)),"")</f>
        <v/>
      </c>
      <c r="J12" s="56">
        <f>IFERROR(INDEX(tblClientes[Nota],MATCH(SMALL(tblClientes[Orden],ROWS($A$5:A12)),tblClientes[Orden],0)),"")</f>
        <v/>
      </c>
    </row>
    <row r="13" ht="22" customHeight="1">
      <c r="A13" s="56">
        <f>IFERROR(INDEX(tblClientes[Nombre],MATCH(SMALL(tblClientes[Orden],ROWS($A$5:A13)),tblClientes[Orden],0)),"")</f>
        <v/>
      </c>
      <c r="B13" s="57">
        <f>IFERROR(INDEX(tblClientes[Teléfono],MATCH(SMALL(tblClientes[Orden],ROWS($A$5:A13)),tblClientes[Orden],0)),"")</f>
        <v/>
      </c>
      <c r="C13" s="56">
        <f>IFERROR(INDEX(tblClientes[Vehículo],MATCH(SMALL(tblClientes[Orden],ROWS($A$5:A13)),tblClientes[Orden],0)),"")</f>
        <v/>
      </c>
      <c r="D13" s="56">
        <f>IFERROR(INDEX(tblClientes[Versión],MATCH(SMALL(tblClientes[Orden],ROWS($A$5:A13)),tblClientes[Orden],0)),"")</f>
        <v/>
      </c>
      <c r="E13" s="58">
        <f>IFERROR(INDEX(tblClientes[Valor cuota],MATCH(SMALL(tblClientes[Orden],ROWS($A$5:A13)),tblClientes[Orden],0)),"")</f>
        <v/>
      </c>
      <c r="F13" s="85">
        <f>IFERROR(INDEX(tblClientes[Plazo meses],MATCH(SMALL(tblClientes[Orden],ROWS($A$5:A13)),tblClientes[Orden],0)),"")</f>
        <v/>
      </c>
      <c r="G13" s="56">
        <f>IFERROR(INDEX(tblClientes[Estado],MATCH(SMALL(tblClientes[Orden],ROWS($A$5:A13)),tblClientes[Orden],0)),"")</f>
        <v/>
      </c>
      <c r="H13" s="56">
        <f>IFERROR(INDEX(tblClientes[Cuándo],MATCH(SMALL(tblClientes[Orden],ROWS($A$5:A13)),tblClientes[Orden],0)),"")</f>
        <v/>
      </c>
      <c r="I13" s="86">
        <f>IFERROR(INDEX(tblClientes[Próximo contacto],MATCH(SMALL(tblClientes[Orden],ROWS($A$5:A13)),tblClientes[Orden],0)),"")</f>
        <v/>
      </c>
      <c r="J13" s="56">
        <f>IFERROR(INDEX(tblClientes[Nota],MATCH(SMALL(tblClientes[Orden],ROWS($A$5:A13)),tblClientes[Orden],0)),"")</f>
        <v/>
      </c>
    </row>
    <row r="14" ht="22" customHeight="1">
      <c r="A14" s="56">
        <f>IFERROR(INDEX(tblClientes[Nombre],MATCH(SMALL(tblClientes[Orden],ROWS($A$5:A14)),tblClientes[Orden],0)),"")</f>
        <v/>
      </c>
      <c r="B14" s="57">
        <f>IFERROR(INDEX(tblClientes[Teléfono],MATCH(SMALL(tblClientes[Orden],ROWS($A$5:A14)),tblClientes[Orden],0)),"")</f>
        <v/>
      </c>
      <c r="C14" s="56">
        <f>IFERROR(INDEX(tblClientes[Vehículo],MATCH(SMALL(tblClientes[Orden],ROWS($A$5:A14)),tblClientes[Orden],0)),"")</f>
        <v/>
      </c>
      <c r="D14" s="56">
        <f>IFERROR(INDEX(tblClientes[Versión],MATCH(SMALL(tblClientes[Orden],ROWS($A$5:A14)),tblClientes[Orden],0)),"")</f>
        <v/>
      </c>
      <c r="E14" s="58">
        <f>IFERROR(INDEX(tblClientes[Valor cuota],MATCH(SMALL(tblClientes[Orden],ROWS($A$5:A14)),tblClientes[Orden],0)),"")</f>
        <v/>
      </c>
      <c r="F14" s="85">
        <f>IFERROR(INDEX(tblClientes[Plazo meses],MATCH(SMALL(tblClientes[Orden],ROWS($A$5:A14)),tblClientes[Orden],0)),"")</f>
        <v/>
      </c>
      <c r="G14" s="56">
        <f>IFERROR(INDEX(tblClientes[Estado],MATCH(SMALL(tblClientes[Orden],ROWS($A$5:A14)),tblClientes[Orden],0)),"")</f>
        <v/>
      </c>
      <c r="H14" s="56">
        <f>IFERROR(INDEX(tblClientes[Cuándo],MATCH(SMALL(tblClientes[Orden],ROWS($A$5:A14)),tblClientes[Orden],0)),"")</f>
        <v/>
      </c>
      <c r="I14" s="86">
        <f>IFERROR(INDEX(tblClientes[Próximo contacto],MATCH(SMALL(tblClientes[Orden],ROWS($A$5:A14)),tblClientes[Orden],0)),"")</f>
        <v/>
      </c>
      <c r="J14" s="56">
        <f>IFERROR(INDEX(tblClientes[Nota],MATCH(SMALL(tblClientes[Orden],ROWS($A$5:A14)),tblClientes[Orden],0)),"")</f>
        <v/>
      </c>
    </row>
    <row r="15" ht="22" customHeight="1">
      <c r="A15" s="56">
        <f>IFERROR(INDEX(tblClientes[Nombre],MATCH(SMALL(tblClientes[Orden],ROWS($A$5:A15)),tblClientes[Orden],0)),"")</f>
        <v/>
      </c>
      <c r="B15" s="57">
        <f>IFERROR(INDEX(tblClientes[Teléfono],MATCH(SMALL(tblClientes[Orden],ROWS($A$5:A15)),tblClientes[Orden],0)),"")</f>
        <v/>
      </c>
      <c r="C15" s="56">
        <f>IFERROR(INDEX(tblClientes[Vehículo],MATCH(SMALL(tblClientes[Orden],ROWS($A$5:A15)),tblClientes[Orden],0)),"")</f>
        <v/>
      </c>
      <c r="D15" s="56">
        <f>IFERROR(INDEX(tblClientes[Versión],MATCH(SMALL(tblClientes[Orden],ROWS($A$5:A15)),tblClientes[Orden],0)),"")</f>
        <v/>
      </c>
      <c r="E15" s="58">
        <f>IFERROR(INDEX(tblClientes[Valor cuota],MATCH(SMALL(tblClientes[Orden],ROWS($A$5:A15)),tblClientes[Orden],0)),"")</f>
        <v/>
      </c>
      <c r="F15" s="85">
        <f>IFERROR(INDEX(tblClientes[Plazo meses],MATCH(SMALL(tblClientes[Orden],ROWS($A$5:A15)),tblClientes[Orden],0)),"")</f>
        <v/>
      </c>
      <c r="G15" s="56">
        <f>IFERROR(INDEX(tblClientes[Estado],MATCH(SMALL(tblClientes[Orden],ROWS($A$5:A15)),tblClientes[Orden],0)),"")</f>
        <v/>
      </c>
      <c r="H15" s="56">
        <f>IFERROR(INDEX(tblClientes[Cuándo],MATCH(SMALL(tblClientes[Orden],ROWS($A$5:A15)),tblClientes[Orden],0)),"")</f>
        <v/>
      </c>
      <c r="I15" s="86">
        <f>IFERROR(INDEX(tblClientes[Próximo contacto],MATCH(SMALL(tblClientes[Orden],ROWS($A$5:A15)),tblClientes[Orden],0)),"")</f>
        <v/>
      </c>
      <c r="J15" s="56">
        <f>IFERROR(INDEX(tblClientes[Nota],MATCH(SMALL(tblClientes[Orden],ROWS($A$5:A15)),tblClientes[Orden],0)),"")</f>
        <v/>
      </c>
    </row>
    <row r="16" ht="22" customHeight="1">
      <c r="A16" s="56">
        <f>IFERROR(INDEX(tblClientes[Nombre],MATCH(SMALL(tblClientes[Orden],ROWS($A$5:A16)),tblClientes[Orden],0)),"")</f>
        <v/>
      </c>
      <c r="B16" s="57">
        <f>IFERROR(INDEX(tblClientes[Teléfono],MATCH(SMALL(tblClientes[Orden],ROWS($A$5:A16)),tblClientes[Orden],0)),"")</f>
        <v/>
      </c>
      <c r="C16" s="56">
        <f>IFERROR(INDEX(tblClientes[Vehículo],MATCH(SMALL(tblClientes[Orden],ROWS($A$5:A16)),tblClientes[Orden],0)),"")</f>
        <v/>
      </c>
      <c r="D16" s="56">
        <f>IFERROR(INDEX(tblClientes[Versión],MATCH(SMALL(tblClientes[Orden],ROWS($A$5:A16)),tblClientes[Orden],0)),"")</f>
        <v/>
      </c>
      <c r="E16" s="58">
        <f>IFERROR(INDEX(tblClientes[Valor cuota],MATCH(SMALL(tblClientes[Orden],ROWS($A$5:A16)),tblClientes[Orden],0)),"")</f>
        <v/>
      </c>
      <c r="F16" s="85">
        <f>IFERROR(INDEX(tblClientes[Plazo meses],MATCH(SMALL(tblClientes[Orden],ROWS($A$5:A16)),tblClientes[Orden],0)),"")</f>
        <v/>
      </c>
      <c r="G16" s="56">
        <f>IFERROR(INDEX(tblClientes[Estado],MATCH(SMALL(tblClientes[Orden],ROWS($A$5:A16)),tblClientes[Orden],0)),"")</f>
        <v/>
      </c>
      <c r="H16" s="56">
        <f>IFERROR(INDEX(tblClientes[Cuándo],MATCH(SMALL(tblClientes[Orden],ROWS($A$5:A16)),tblClientes[Orden],0)),"")</f>
        <v/>
      </c>
      <c r="I16" s="86">
        <f>IFERROR(INDEX(tblClientes[Próximo contacto],MATCH(SMALL(tblClientes[Orden],ROWS($A$5:A16)),tblClientes[Orden],0)),"")</f>
        <v/>
      </c>
      <c r="J16" s="56">
        <f>IFERROR(INDEX(tblClientes[Nota],MATCH(SMALL(tblClientes[Orden],ROWS($A$5:A16)),tblClientes[Orden],0)),"")</f>
        <v/>
      </c>
    </row>
    <row r="17" ht="22" customHeight="1">
      <c r="A17" s="56">
        <f>IFERROR(INDEX(tblClientes[Nombre],MATCH(SMALL(tblClientes[Orden],ROWS($A$5:A17)),tblClientes[Orden],0)),"")</f>
        <v/>
      </c>
      <c r="B17" s="57">
        <f>IFERROR(INDEX(tblClientes[Teléfono],MATCH(SMALL(tblClientes[Orden],ROWS($A$5:A17)),tblClientes[Orden],0)),"")</f>
        <v/>
      </c>
      <c r="C17" s="56">
        <f>IFERROR(INDEX(tblClientes[Vehículo],MATCH(SMALL(tblClientes[Orden],ROWS($A$5:A17)),tblClientes[Orden],0)),"")</f>
        <v/>
      </c>
      <c r="D17" s="56">
        <f>IFERROR(INDEX(tblClientes[Versión],MATCH(SMALL(tblClientes[Orden],ROWS($A$5:A17)),tblClientes[Orden],0)),"")</f>
        <v/>
      </c>
      <c r="E17" s="58">
        <f>IFERROR(INDEX(tblClientes[Valor cuota],MATCH(SMALL(tblClientes[Orden],ROWS($A$5:A17)),tblClientes[Orden],0)),"")</f>
        <v/>
      </c>
      <c r="F17" s="85">
        <f>IFERROR(INDEX(tblClientes[Plazo meses],MATCH(SMALL(tblClientes[Orden],ROWS($A$5:A17)),tblClientes[Orden],0)),"")</f>
        <v/>
      </c>
      <c r="G17" s="56">
        <f>IFERROR(INDEX(tblClientes[Estado],MATCH(SMALL(tblClientes[Orden],ROWS($A$5:A17)),tblClientes[Orden],0)),"")</f>
        <v/>
      </c>
      <c r="H17" s="56">
        <f>IFERROR(INDEX(tblClientes[Cuándo],MATCH(SMALL(tblClientes[Orden],ROWS($A$5:A17)),tblClientes[Orden],0)),"")</f>
        <v/>
      </c>
      <c r="I17" s="86">
        <f>IFERROR(INDEX(tblClientes[Próximo contacto],MATCH(SMALL(tblClientes[Orden],ROWS($A$5:A17)),tblClientes[Orden],0)),"")</f>
        <v/>
      </c>
      <c r="J17" s="56">
        <f>IFERROR(INDEX(tblClientes[Nota],MATCH(SMALL(tblClientes[Orden],ROWS($A$5:A17)),tblClientes[Orden],0)),"")</f>
        <v/>
      </c>
    </row>
    <row r="18" ht="22" customHeight="1">
      <c r="A18" s="56">
        <f>IFERROR(INDEX(tblClientes[Nombre],MATCH(SMALL(tblClientes[Orden],ROWS($A$5:A18)),tblClientes[Orden],0)),"")</f>
        <v/>
      </c>
      <c r="B18" s="57">
        <f>IFERROR(INDEX(tblClientes[Teléfono],MATCH(SMALL(tblClientes[Orden],ROWS($A$5:A18)),tblClientes[Orden],0)),"")</f>
        <v/>
      </c>
      <c r="C18" s="56">
        <f>IFERROR(INDEX(tblClientes[Vehículo],MATCH(SMALL(tblClientes[Orden],ROWS($A$5:A18)),tblClientes[Orden],0)),"")</f>
        <v/>
      </c>
      <c r="D18" s="56">
        <f>IFERROR(INDEX(tblClientes[Versión],MATCH(SMALL(tblClientes[Orden],ROWS($A$5:A18)),tblClientes[Orden],0)),"")</f>
        <v/>
      </c>
      <c r="E18" s="58">
        <f>IFERROR(INDEX(tblClientes[Valor cuota],MATCH(SMALL(tblClientes[Orden],ROWS($A$5:A18)),tblClientes[Orden],0)),"")</f>
        <v/>
      </c>
      <c r="F18" s="85">
        <f>IFERROR(INDEX(tblClientes[Plazo meses],MATCH(SMALL(tblClientes[Orden],ROWS($A$5:A18)),tblClientes[Orden],0)),"")</f>
        <v/>
      </c>
      <c r="G18" s="56">
        <f>IFERROR(INDEX(tblClientes[Estado],MATCH(SMALL(tblClientes[Orden],ROWS($A$5:A18)),tblClientes[Orden],0)),"")</f>
        <v/>
      </c>
      <c r="H18" s="56">
        <f>IFERROR(INDEX(tblClientes[Cuándo],MATCH(SMALL(tblClientes[Orden],ROWS($A$5:A18)),tblClientes[Orden],0)),"")</f>
        <v/>
      </c>
      <c r="I18" s="86">
        <f>IFERROR(INDEX(tblClientes[Próximo contacto],MATCH(SMALL(tblClientes[Orden],ROWS($A$5:A18)),tblClientes[Orden],0)),"")</f>
        <v/>
      </c>
      <c r="J18" s="56">
        <f>IFERROR(INDEX(tblClientes[Nota],MATCH(SMALL(tblClientes[Orden],ROWS($A$5:A18)),tblClientes[Orden],0)),"")</f>
        <v/>
      </c>
    </row>
    <row r="19" ht="22" customHeight="1">
      <c r="A19" s="56">
        <f>IFERROR(INDEX(tblClientes[Nombre],MATCH(SMALL(tblClientes[Orden],ROWS($A$5:A19)),tblClientes[Orden],0)),"")</f>
        <v/>
      </c>
      <c r="B19" s="57">
        <f>IFERROR(INDEX(tblClientes[Teléfono],MATCH(SMALL(tblClientes[Orden],ROWS($A$5:A19)),tblClientes[Orden],0)),"")</f>
        <v/>
      </c>
      <c r="C19" s="56">
        <f>IFERROR(INDEX(tblClientes[Vehículo],MATCH(SMALL(tblClientes[Orden],ROWS($A$5:A19)),tblClientes[Orden],0)),"")</f>
        <v/>
      </c>
      <c r="D19" s="56">
        <f>IFERROR(INDEX(tblClientes[Versión],MATCH(SMALL(tblClientes[Orden],ROWS($A$5:A19)),tblClientes[Orden],0)),"")</f>
        <v/>
      </c>
      <c r="E19" s="58">
        <f>IFERROR(INDEX(tblClientes[Valor cuota],MATCH(SMALL(tblClientes[Orden],ROWS($A$5:A19)),tblClientes[Orden],0)),"")</f>
        <v/>
      </c>
      <c r="F19" s="85">
        <f>IFERROR(INDEX(tblClientes[Plazo meses],MATCH(SMALL(tblClientes[Orden],ROWS($A$5:A19)),tblClientes[Orden],0)),"")</f>
        <v/>
      </c>
      <c r="G19" s="56">
        <f>IFERROR(INDEX(tblClientes[Estado],MATCH(SMALL(tblClientes[Orden],ROWS($A$5:A19)),tblClientes[Orden],0)),"")</f>
        <v/>
      </c>
      <c r="H19" s="56">
        <f>IFERROR(INDEX(tblClientes[Cuándo],MATCH(SMALL(tblClientes[Orden],ROWS($A$5:A19)),tblClientes[Orden],0)),"")</f>
        <v/>
      </c>
      <c r="I19" s="86">
        <f>IFERROR(INDEX(tblClientes[Próximo contacto],MATCH(SMALL(tblClientes[Orden],ROWS($A$5:A19)),tblClientes[Orden],0)),"")</f>
        <v/>
      </c>
      <c r="J19" s="56">
        <f>IFERROR(INDEX(tblClientes[Nota],MATCH(SMALL(tblClientes[Orden],ROWS($A$5:A19)),tblClientes[Orden],0)),"")</f>
        <v/>
      </c>
    </row>
    <row r="20" ht="22" customHeight="1">
      <c r="A20" s="56">
        <f>IFERROR(INDEX(tblClientes[Nombre],MATCH(SMALL(tblClientes[Orden],ROWS($A$5:A20)),tblClientes[Orden],0)),"")</f>
        <v/>
      </c>
      <c r="B20" s="57">
        <f>IFERROR(INDEX(tblClientes[Teléfono],MATCH(SMALL(tblClientes[Orden],ROWS($A$5:A20)),tblClientes[Orden],0)),"")</f>
        <v/>
      </c>
      <c r="C20" s="56">
        <f>IFERROR(INDEX(tblClientes[Vehículo],MATCH(SMALL(tblClientes[Orden],ROWS($A$5:A20)),tblClientes[Orden],0)),"")</f>
        <v/>
      </c>
      <c r="D20" s="56">
        <f>IFERROR(INDEX(tblClientes[Versión],MATCH(SMALL(tblClientes[Orden],ROWS($A$5:A20)),tblClientes[Orden],0)),"")</f>
        <v/>
      </c>
      <c r="E20" s="58">
        <f>IFERROR(INDEX(tblClientes[Valor cuota],MATCH(SMALL(tblClientes[Orden],ROWS($A$5:A20)),tblClientes[Orden],0)),"")</f>
        <v/>
      </c>
      <c r="F20" s="85">
        <f>IFERROR(INDEX(tblClientes[Plazo meses],MATCH(SMALL(tblClientes[Orden],ROWS($A$5:A20)),tblClientes[Orden],0)),"")</f>
        <v/>
      </c>
      <c r="G20" s="56">
        <f>IFERROR(INDEX(tblClientes[Estado],MATCH(SMALL(tblClientes[Orden],ROWS($A$5:A20)),tblClientes[Orden],0)),"")</f>
        <v/>
      </c>
      <c r="H20" s="56">
        <f>IFERROR(INDEX(tblClientes[Cuándo],MATCH(SMALL(tblClientes[Orden],ROWS($A$5:A20)),tblClientes[Orden],0)),"")</f>
        <v/>
      </c>
      <c r="I20" s="86">
        <f>IFERROR(INDEX(tblClientes[Próximo contacto],MATCH(SMALL(tblClientes[Orden],ROWS($A$5:A20)),tblClientes[Orden],0)),"")</f>
        <v/>
      </c>
      <c r="J20" s="56">
        <f>IFERROR(INDEX(tblClientes[Nota],MATCH(SMALL(tblClientes[Orden],ROWS($A$5:A20)),tblClientes[Orden],0)),"")</f>
        <v/>
      </c>
    </row>
    <row r="21" ht="22" customHeight="1">
      <c r="A21" s="56">
        <f>IFERROR(INDEX(tblClientes[Nombre],MATCH(SMALL(tblClientes[Orden],ROWS($A$5:A21)),tblClientes[Orden],0)),"")</f>
        <v/>
      </c>
      <c r="B21" s="57">
        <f>IFERROR(INDEX(tblClientes[Teléfono],MATCH(SMALL(tblClientes[Orden],ROWS($A$5:A21)),tblClientes[Orden],0)),"")</f>
        <v/>
      </c>
      <c r="C21" s="56">
        <f>IFERROR(INDEX(tblClientes[Vehículo],MATCH(SMALL(tblClientes[Orden],ROWS($A$5:A21)),tblClientes[Orden],0)),"")</f>
        <v/>
      </c>
      <c r="D21" s="56">
        <f>IFERROR(INDEX(tblClientes[Versión],MATCH(SMALL(tblClientes[Orden],ROWS($A$5:A21)),tblClientes[Orden],0)),"")</f>
        <v/>
      </c>
      <c r="E21" s="58">
        <f>IFERROR(INDEX(tblClientes[Valor cuota],MATCH(SMALL(tblClientes[Orden],ROWS($A$5:A21)),tblClientes[Orden],0)),"")</f>
        <v/>
      </c>
      <c r="F21" s="85">
        <f>IFERROR(INDEX(tblClientes[Plazo meses],MATCH(SMALL(tblClientes[Orden],ROWS($A$5:A21)),tblClientes[Orden],0)),"")</f>
        <v/>
      </c>
      <c r="G21" s="56">
        <f>IFERROR(INDEX(tblClientes[Estado],MATCH(SMALL(tblClientes[Orden],ROWS($A$5:A21)),tblClientes[Orden],0)),"")</f>
        <v/>
      </c>
      <c r="H21" s="56">
        <f>IFERROR(INDEX(tblClientes[Cuándo],MATCH(SMALL(tblClientes[Orden],ROWS($A$5:A21)),tblClientes[Orden],0)),"")</f>
        <v/>
      </c>
      <c r="I21" s="86">
        <f>IFERROR(INDEX(tblClientes[Próximo contacto],MATCH(SMALL(tblClientes[Orden],ROWS($A$5:A21)),tblClientes[Orden],0)),"")</f>
        <v/>
      </c>
      <c r="J21" s="56">
        <f>IFERROR(INDEX(tblClientes[Nota],MATCH(SMALL(tblClientes[Orden],ROWS($A$5:A21)),tblClientes[Orden],0)),"")</f>
        <v/>
      </c>
    </row>
    <row r="22" ht="22" customHeight="1">
      <c r="A22" s="56">
        <f>IFERROR(INDEX(tblClientes[Nombre],MATCH(SMALL(tblClientes[Orden],ROWS($A$5:A22)),tblClientes[Orden],0)),"")</f>
        <v/>
      </c>
      <c r="B22" s="57">
        <f>IFERROR(INDEX(tblClientes[Teléfono],MATCH(SMALL(tblClientes[Orden],ROWS($A$5:A22)),tblClientes[Orden],0)),"")</f>
        <v/>
      </c>
      <c r="C22" s="56">
        <f>IFERROR(INDEX(tblClientes[Vehículo],MATCH(SMALL(tblClientes[Orden],ROWS($A$5:A22)),tblClientes[Orden],0)),"")</f>
        <v/>
      </c>
      <c r="D22" s="56">
        <f>IFERROR(INDEX(tblClientes[Versión],MATCH(SMALL(tblClientes[Orden],ROWS($A$5:A22)),tblClientes[Orden],0)),"")</f>
        <v/>
      </c>
      <c r="E22" s="58">
        <f>IFERROR(INDEX(tblClientes[Valor cuota],MATCH(SMALL(tblClientes[Orden],ROWS($A$5:A22)),tblClientes[Orden],0)),"")</f>
        <v/>
      </c>
      <c r="F22" s="85">
        <f>IFERROR(INDEX(tblClientes[Plazo meses],MATCH(SMALL(tblClientes[Orden],ROWS($A$5:A22)),tblClientes[Orden],0)),"")</f>
        <v/>
      </c>
      <c r="G22" s="56">
        <f>IFERROR(INDEX(tblClientes[Estado],MATCH(SMALL(tblClientes[Orden],ROWS($A$5:A22)),tblClientes[Orden],0)),"")</f>
        <v/>
      </c>
      <c r="H22" s="56">
        <f>IFERROR(INDEX(tblClientes[Cuándo],MATCH(SMALL(tblClientes[Orden],ROWS($A$5:A22)),tblClientes[Orden],0)),"")</f>
        <v/>
      </c>
      <c r="I22" s="86">
        <f>IFERROR(INDEX(tblClientes[Próximo contacto],MATCH(SMALL(tblClientes[Orden],ROWS($A$5:A22)),tblClientes[Orden],0)),"")</f>
        <v/>
      </c>
      <c r="J22" s="56">
        <f>IFERROR(INDEX(tblClientes[Nota],MATCH(SMALL(tblClientes[Orden],ROWS($A$5:A22)),tblClientes[Orden],0)),"")</f>
        <v/>
      </c>
    </row>
    <row r="23" ht="22" customHeight="1">
      <c r="A23" s="56">
        <f>IFERROR(INDEX(tblClientes[Nombre],MATCH(SMALL(tblClientes[Orden],ROWS($A$5:A23)),tblClientes[Orden],0)),"")</f>
        <v/>
      </c>
      <c r="B23" s="57">
        <f>IFERROR(INDEX(tblClientes[Teléfono],MATCH(SMALL(tblClientes[Orden],ROWS($A$5:A23)),tblClientes[Orden],0)),"")</f>
        <v/>
      </c>
      <c r="C23" s="56">
        <f>IFERROR(INDEX(tblClientes[Vehículo],MATCH(SMALL(tblClientes[Orden],ROWS($A$5:A23)),tblClientes[Orden],0)),"")</f>
        <v/>
      </c>
      <c r="D23" s="56">
        <f>IFERROR(INDEX(tblClientes[Versión],MATCH(SMALL(tblClientes[Orden],ROWS($A$5:A23)),tblClientes[Orden],0)),"")</f>
        <v/>
      </c>
      <c r="E23" s="58">
        <f>IFERROR(INDEX(tblClientes[Valor cuota],MATCH(SMALL(tblClientes[Orden],ROWS($A$5:A23)),tblClientes[Orden],0)),"")</f>
        <v/>
      </c>
      <c r="F23" s="85">
        <f>IFERROR(INDEX(tblClientes[Plazo meses],MATCH(SMALL(tblClientes[Orden],ROWS($A$5:A23)),tblClientes[Orden],0)),"")</f>
        <v/>
      </c>
      <c r="G23" s="56">
        <f>IFERROR(INDEX(tblClientes[Estado],MATCH(SMALL(tblClientes[Orden],ROWS($A$5:A23)),tblClientes[Orden],0)),"")</f>
        <v/>
      </c>
      <c r="H23" s="56">
        <f>IFERROR(INDEX(tblClientes[Cuándo],MATCH(SMALL(tblClientes[Orden],ROWS($A$5:A23)),tblClientes[Orden],0)),"")</f>
        <v/>
      </c>
      <c r="I23" s="86">
        <f>IFERROR(INDEX(tblClientes[Próximo contacto],MATCH(SMALL(tblClientes[Orden],ROWS($A$5:A23)),tblClientes[Orden],0)),"")</f>
        <v/>
      </c>
      <c r="J23" s="56">
        <f>IFERROR(INDEX(tblClientes[Nota],MATCH(SMALL(tblClientes[Orden],ROWS($A$5:A23)),tblClientes[Orden],0)),"")</f>
        <v/>
      </c>
    </row>
    <row r="24" ht="22" customHeight="1">
      <c r="A24" s="56">
        <f>IFERROR(INDEX(tblClientes[Nombre],MATCH(SMALL(tblClientes[Orden],ROWS($A$5:A24)),tblClientes[Orden],0)),"")</f>
        <v/>
      </c>
      <c r="B24" s="57">
        <f>IFERROR(INDEX(tblClientes[Teléfono],MATCH(SMALL(tblClientes[Orden],ROWS($A$5:A24)),tblClientes[Orden],0)),"")</f>
        <v/>
      </c>
      <c r="C24" s="56">
        <f>IFERROR(INDEX(tblClientes[Vehículo],MATCH(SMALL(tblClientes[Orden],ROWS($A$5:A24)),tblClientes[Orden],0)),"")</f>
        <v/>
      </c>
      <c r="D24" s="56">
        <f>IFERROR(INDEX(tblClientes[Versión],MATCH(SMALL(tblClientes[Orden],ROWS($A$5:A24)),tblClientes[Orden],0)),"")</f>
        <v/>
      </c>
      <c r="E24" s="58">
        <f>IFERROR(INDEX(tblClientes[Valor cuota],MATCH(SMALL(tblClientes[Orden],ROWS($A$5:A24)),tblClientes[Orden],0)),"")</f>
        <v/>
      </c>
      <c r="F24" s="85">
        <f>IFERROR(INDEX(tblClientes[Plazo meses],MATCH(SMALL(tblClientes[Orden],ROWS($A$5:A24)),tblClientes[Orden],0)),"")</f>
        <v/>
      </c>
      <c r="G24" s="56">
        <f>IFERROR(INDEX(tblClientes[Estado],MATCH(SMALL(tblClientes[Orden],ROWS($A$5:A24)),tblClientes[Orden],0)),"")</f>
        <v/>
      </c>
      <c r="H24" s="56">
        <f>IFERROR(INDEX(tblClientes[Cuándo],MATCH(SMALL(tblClientes[Orden],ROWS($A$5:A24)),tblClientes[Orden],0)),"")</f>
        <v/>
      </c>
      <c r="I24" s="86">
        <f>IFERROR(INDEX(tblClientes[Próximo contacto],MATCH(SMALL(tblClientes[Orden],ROWS($A$5:A24)),tblClientes[Orden],0)),"")</f>
        <v/>
      </c>
      <c r="J24" s="56">
        <f>IFERROR(INDEX(tblClientes[Nota],MATCH(SMALL(tblClientes[Orden],ROWS($A$5:A24)),tblClientes[Orden],0)),"")</f>
        <v/>
      </c>
    </row>
    <row r="25" ht="22" customHeight="1">
      <c r="A25" s="56">
        <f>IFERROR(INDEX(tblClientes[Nombre],MATCH(SMALL(tblClientes[Orden],ROWS($A$5:A25)),tblClientes[Orden],0)),"")</f>
        <v/>
      </c>
      <c r="B25" s="57">
        <f>IFERROR(INDEX(tblClientes[Teléfono],MATCH(SMALL(tblClientes[Orden],ROWS($A$5:A25)),tblClientes[Orden],0)),"")</f>
        <v/>
      </c>
      <c r="C25" s="56">
        <f>IFERROR(INDEX(tblClientes[Vehículo],MATCH(SMALL(tblClientes[Orden],ROWS($A$5:A25)),tblClientes[Orden],0)),"")</f>
        <v/>
      </c>
      <c r="D25" s="56">
        <f>IFERROR(INDEX(tblClientes[Versión],MATCH(SMALL(tblClientes[Orden],ROWS($A$5:A25)),tblClientes[Orden],0)),"")</f>
        <v/>
      </c>
      <c r="E25" s="58">
        <f>IFERROR(INDEX(tblClientes[Valor cuota],MATCH(SMALL(tblClientes[Orden],ROWS($A$5:A25)),tblClientes[Orden],0)),"")</f>
        <v/>
      </c>
      <c r="F25" s="85">
        <f>IFERROR(INDEX(tblClientes[Plazo meses],MATCH(SMALL(tblClientes[Orden],ROWS($A$5:A25)),tblClientes[Orden],0)),"")</f>
        <v/>
      </c>
      <c r="G25" s="56">
        <f>IFERROR(INDEX(tblClientes[Estado],MATCH(SMALL(tblClientes[Orden],ROWS($A$5:A25)),tblClientes[Orden],0)),"")</f>
        <v/>
      </c>
      <c r="H25" s="56">
        <f>IFERROR(INDEX(tblClientes[Cuándo],MATCH(SMALL(tblClientes[Orden],ROWS($A$5:A25)),tblClientes[Orden],0)),"")</f>
        <v/>
      </c>
      <c r="I25" s="86">
        <f>IFERROR(INDEX(tblClientes[Próximo contacto],MATCH(SMALL(tblClientes[Orden],ROWS($A$5:A25)),tblClientes[Orden],0)),"")</f>
        <v/>
      </c>
      <c r="J25" s="56">
        <f>IFERROR(INDEX(tblClientes[Nota],MATCH(SMALL(tblClientes[Orden],ROWS($A$5:A25)),tblClientes[Orden],0)),"")</f>
        <v/>
      </c>
    </row>
    <row r="26" ht="22" customHeight="1">
      <c r="A26" s="56">
        <f>IFERROR(INDEX(tblClientes[Nombre],MATCH(SMALL(tblClientes[Orden],ROWS($A$5:A26)),tblClientes[Orden],0)),"")</f>
        <v/>
      </c>
      <c r="B26" s="57">
        <f>IFERROR(INDEX(tblClientes[Teléfono],MATCH(SMALL(tblClientes[Orden],ROWS($A$5:A26)),tblClientes[Orden],0)),"")</f>
        <v/>
      </c>
      <c r="C26" s="56">
        <f>IFERROR(INDEX(tblClientes[Vehículo],MATCH(SMALL(tblClientes[Orden],ROWS($A$5:A26)),tblClientes[Orden],0)),"")</f>
        <v/>
      </c>
      <c r="D26" s="56">
        <f>IFERROR(INDEX(tblClientes[Versión],MATCH(SMALL(tblClientes[Orden],ROWS($A$5:A26)),tblClientes[Orden],0)),"")</f>
        <v/>
      </c>
      <c r="E26" s="58">
        <f>IFERROR(INDEX(tblClientes[Valor cuota],MATCH(SMALL(tblClientes[Orden],ROWS($A$5:A26)),tblClientes[Orden],0)),"")</f>
        <v/>
      </c>
      <c r="F26" s="85">
        <f>IFERROR(INDEX(tblClientes[Plazo meses],MATCH(SMALL(tblClientes[Orden],ROWS($A$5:A26)),tblClientes[Orden],0)),"")</f>
        <v/>
      </c>
      <c r="G26" s="56">
        <f>IFERROR(INDEX(tblClientes[Estado],MATCH(SMALL(tblClientes[Orden],ROWS($A$5:A26)),tblClientes[Orden],0)),"")</f>
        <v/>
      </c>
      <c r="H26" s="56">
        <f>IFERROR(INDEX(tblClientes[Cuándo],MATCH(SMALL(tblClientes[Orden],ROWS($A$5:A26)),tblClientes[Orden],0)),"")</f>
        <v/>
      </c>
      <c r="I26" s="86">
        <f>IFERROR(INDEX(tblClientes[Próximo contacto],MATCH(SMALL(tblClientes[Orden],ROWS($A$5:A26)),tblClientes[Orden],0)),"")</f>
        <v/>
      </c>
      <c r="J26" s="56">
        <f>IFERROR(INDEX(tblClientes[Nota],MATCH(SMALL(tblClientes[Orden],ROWS($A$5:A26)),tblClientes[Orden],0)),"")</f>
        <v/>
      </c>
    </row>
    <row r="27" ht="22" customHeight="1">
      <c r="A27" s="56">
        <f>IFERROR(INDEX(tblClientes[Nombre],MATCH(SMALL(tblClientes[Orden],ROWS($A$5:A27)),tblClientes[Orden],0)),"")</f>
        <v/>
      </c>
      <c r="B27" s="57">
        <f>IFERROR(INDEX(tblClientes[Teléfono],MATCH(SMALL(tblClientes[Orden],ROWS($A$5:A27)),tblClientes[Orden],0)),"")</f>
        <v/>
      </c>
      <c r="C27" s="56">
        <f>IFERROR(INDEX(tblClientes[Vehículo],MATCH(SMALL(tblClientes[Orden],ROWS($A$5:A27)),tblClientes[Orden],0)),"")</f>
        <v/>
      </c>
      <c r="D27" s="56">
        <f>IFERROR(INDEX(tblClientes[Versión],MATCH(SMALL(tblClientes[Orden],ROWS($A$5:A27)),tblClientes[Orden],0)),"")</f>
        <v/>
      </c>
      <c r="E27" s="58">
        <f>IFERROR(INDEX(tblClientes[Valor cuota],MATCH(SMALL(tblClientes[Orden],ROWS($A$5:A27)),tblClientes[Orden],0)),"")</f>
        <v/>
      </c>
      <c r="F27" s="85">
        <f>IFERROR(INDEX(tblClientes[Plazo meses],MATCH(SMALL(tblClientes[Orden],ROWS($A$5:A27)),tblClientes[Orden],0)),"")</f>
        <v/>
      </c>
      <c r="G27" s="56">
        <f>IFERROR(INDEX(tblClientes[Estado],MATCH(SMALL(tblClientes[Orden],ROWS($A$5:A27)),tblClientes[Orden],0)),"")</f>
        <v/>
      </c>
      <c r="H27" s="56">
        <f>IFERROR(INDEX(tblClientes[Cuándo],MATCH(SMALL(tblClientes[Orden],ROWS($A$5:A27)),tblClientes[Orden],0)),"")</f>
        <v/>
      </c>
      <c r="I27" s="86">
        <f>IFERROR(INDEX(tblClientes[Próximo contacto],MATCH(SMALL(tblClientes[Orden],ROWS($A$5:A27)),tblClientes[Orden],0)),"")</f>
        <v/>
      </c>
      <c r="J27" s="56">
        <f>IFERROR(INDEX(tblClientes[Nota],MATCH(SMALL(tblClientes[Orden],ROWS($A$5:A27)),tblClientes[Orden],0)),"")</f>
        <v/>
      </c>
    </row>
    <row r="28" ht="22" customHeight="1">
      <c r="A28" s="56">
        <f>IFERROR(INDEX(tblClientes[Nombre],MATCH(SMALL(tblClientes[Orden],ROWS($A$5:A28)),tblClientes[Orden],0)),"")</f>
        <v/>
      </c>
      <c r="B28" s="57">
        <f>IFERROR(INDEX(tblClientes[Teléfono],MATCH(SMALL(tblClientes[Orden],ROWS($A$5:A28)),tblClientes[Orden],0)),"")</f>
        <v/>
      </c>
      <c r="C28" s="56">
        <f>IFERROR(INDEX(tblClientes[Vehículo],MATCH(SMALL(tblClientes[Orden],ROWS($A$5:A28)),tblClientes[Orden],0)),"")</f>
        <v/>
      </c>
      <c r="D28" s="56">
        <f>IFERROR(INDEX(tblClientes[Versión],MATCH(SMALL(tblClientes[Orden],ROWS($A$5:A28)),tblClientes[Orden],0)),"")</f>
        <v/>
      </c>
      <c r="E28" s="58">
        <f>IFERROR(INDEX(tblClientes[Valor cuota],MATCH(SMALL(tblClientes[Orden],ROWS($A$5:A28)),tblClientes[Orden],0)),"")</f>
        <v/>
      </c>
      <c r="F28" s="85">
        <f>IFERROR(INDEX(tblClientes[Plazo meses],MATCH(SMALL(tblClientes[Orden],ROWS($A$5:A28)),tblClientes[Orden],0)),"")</f>
        <v/>
      </c>
      <c r="G28" s="56">
        <f>IFERROR(INDEX(tblClientes[Estado],MATCH(SMALL(tblClientes[Orden],ROWS($A$5:A28)),tblClientes[Orden],0)),"")</f>
        <v/>
      </c>
      <c r="H28" s="56">
        <f>IFERROR(INDEX(tblClientes[Cuándo],MATCH(SMALL(tblClientes[Orden],ROWS($A$5:A28)),tblClientes[Orden],0)),"")</f>
        <v/>
      </c>
      <c r="I28" s="86">
        <f>IFERROR(INDEX(tblClientes[Próximo contacto],MATCH(SMALL(tblClientes[Orden],ROWS($A$5:A28)),tblClientes[Orden],0)),"")</f>
        <v/>
      </c>
      <c r="J28" s="56">
        <f>IFERROR(INDEX(tblClientes[Nota],MATCH(SMALL(tblClientes[Orden],ROWS($A$5:A28)),tblClientes[Orden],0)),"")</f>
        <v/>
      </c>
    </row>
    <row r="29" ht="22" customHeight="1">
      <c r="A29" s="56">
        <f>IFERROR(INDEX(tblClientes[Nombre],MATCH(SMALL(tblClientes[Orden],ROWS($A$5:A29)),tblClientes[Orden],0)),"")</f>
        <v/>
      </c>
      <c r="B29" s="57">
        <f>IFERROR(INDEX(tblClientes[Teléfono],MATCH(SMALL(tblClientes[Orden],ROWS($A$5:A29)),tblClientes[Orden],0)),"")</f>
        <v/>
      </c>
      <c r="C29" s="56">
        <f>IFERROR(INDEX(tblClientes[Vehículo],MATCH(SMALL(tblClientes[Orden],ROWS($A$5:A29)),tblClientes[Orden],0)),"")</f>
        <v/>
      </c>
      <c r="D29" s="56">
        <f>IFERROR(INDEX(tblClientes[Versión],MATCH(SMALL(tblClientes[Orden],ROWS($A$5:A29)),tblClientes[Orden],0)),"")</f>
        <v/>
      </c>
      <c r="E29" s="58">
        <f>IFERROR(INDEX(tblClientes[Valor cuota],MATCH(SMALL(tblClientes[Orden],ROWS($A$5:A29)),tblClientes[Orden],0)),"")</f>
        <v/>
      </c>
      <c r="F29" s="85">
        <f>IFERROR(INDEX(tblClientes[Plazo meses],MATCH(SMALL(tblClientes[Orden],ROWS($A$5:A29)),tblClientes[Orden],0)),"")</f>
        <v/>
      </c>
      <c r="G29" s="56">
        <f>IFERROR(INDEX(tblClientes[Estado],MATCH(SMALL(tblClientes[Orden],ROWS($A$5:A29)),tblClientes[Orden],0)),"")</f>
        <v/>
      </c>
      <c r="H29" s="56">
        <f>IFERROR(INDEX(tblClientes[Cuándo],MATCH(SMALL(tblClientes[Orden],ROWS($A$5:A29)),tblClientes[Orden],0)),"")</f>
        <v/>
      </c>
      <c r="I29" s="86">
        <f>IFERROR(INDEX(tblClientes[Próximo contacto],MATCH(SMALL(tblClientes[Orden],ROWS($A$5:A29)),tblClientes[Orden],0)),"")</f>
        <v/>
      </c>
      <c r="J29" s="56">
        <f>IFERROR(INDEX(tblClientes[Nota],MATCH(SMALL(tblClientes[Orden],ROWS($A$5:A29)),tblClientes[Orden],0)),"")</f>
        <v/>
      </c>
    </row>
    <row r="30" ht="22" customHeight="1">
      <c r="A30" s="56">
        <f>IFERROR(INDEX(tblClientes[Nombre],MATCH(SMALL(tblClientes[Orden],ROWS($A$5:A30)),tblClientes[Orden],0)),"")</f>
        <v/>
      </c>
      <c r="B30" s="57">
        <f>IFERROR(INDEX(tblClientes[Teléfono],MATCH(SMALL(tblClientes[Orden],ROWS($A$5:A30)),tblClientes[Orden],0)),"")</f>
        <v/>
      </c>
      <c r="C30" s="56">
        <f>IFERROR(INDEX(tblClientes[Vehículo],MATCH(SMALL(tblClientes[Orden],ROWS($A$5:A30)),tblClientes[Orden],0)),"")</f>
        <v/>
      </c>
      <c r="D30" s="56">
        <f>IFERROR(INDEX(tblClientes[Versión],MATCH(SMALL(tblClientes[Orden],ROWS($A$5:A30)),tblClientes[Orden],0)),"")</f>
        <v/>
      </c>
      <c r="E30" s="58">
        <f>IFERROR(INDEX(tblClientes[Valor cuota],MATCH(SMALL(tblClientes[Orden],ROWS($A$5:A30)),tblClientes[Orden],0)),"")</f>
        <v/>
      </c>
      <c r="F30" s="85">
        <f>IFERROR(INDEX(tblClientes[Plazo meses],MATCH(SMALL(tblClientes[Orden],ROWS($A$5:A30)),tblClientes[Orden],0)),"")</f>
        <v/>
      </c>
      <c r="G30" s="56">
        <f>IFERROR(INDEX(tblClientes[Estado],MATCH(SMALL(tblClientes[Orden],ROWS($A$5:A30)),tblClientes[Orden],0)),"")</f>
        <v/>
      </c>
      <c r="H30" s="56">
        <f>IFERROR(INDEX(tblClientes[Cuándo],MATCH(SMALL(tblClientes[Orden],ROWS($A$5:A30)),tblClientes[Orden],0)),"")</f>
        <v/>
      </c>
      <c r="I30" s="86">
        <f>IFERROR(INDEX(tblClientes[Próximo contacto],MATCH(SMALL(tblClientes[Orden],ROWS($A$5:A30)),tblClientes[Orden],0)),"")</f>
        <v/>
      </c>
      <c r="J30" s="56">
        <f>IFERROR(INDEX(tblClientes[Nota],MATCH(SMALL(tblClientes[Orden],ROWS($A$5:A30)),tblClientes[Orden],0)),"")</f>
        <v/>
      </c>
    </row>
    <row r="31" ht="22" customHeight="1">
      <c r="A31" s="56">
        <f>IFERROR(INDEX(tblClientes[Nombre],MATCH(SMALL(tblClientes[Orden],ROWS($A$5:A31)),tblClientes[Orden],0)),"")</f>
        <v/>
      </c>
      <c r="B31" s="57">
        <f>IFERROR(INDEX(tblClientes[Teléfono],MATCH(SMALL(tblClientes[Orden],ROWS($A$5:A31)),tblClientes[Orden],0)),"")</f>
        <v/>
      </c>
      <c r="C31" s="56">
        <f>IFERROR(INDEX(tblClientes[Vehículo],MATCH(SMALL(tblClientes[Orden],ROWS($A$5:A31)),tblClientes[Orden],0)),"")</f>
        <v/>
      </c>
      <c r="D31" s="56">
        <f>IFERROR(INDEX(tblClientes[Versión],MATCH(SMALL(tblClientes[Orden],ROWS($A$5:A31)),tblClientes[Orden],0)),"")</f>
        <v/>
      </c>
      <c r="E31" s="58">
        <f>IFERROR(INDEX(tblClientes[Valor cuota],MATCH(SMALL(tblClientes[Orden],ROWS($A$5:A31)),tblClientes[Orden],0)),"")</f>
        <v/>
      </c>
      <c r="F31" s="85">
        <f>IFERROR(INDEX(tblClientes[Plazo meses],MATCH(SMALL(tblClientes[Orden],ROWS($A$5:A31)),tblClientes[Orden],0)),"")</f>
        <v/>
      </c>
      <c r="G31" s="56">
        <f>IFERROR(INDEX(tblClientes[Estado],MATCH(SMALL(tblClientes[Orden],ROWS($A$5:A31)),tblClientes[Orden],0)),"")</f>
        <v/>
      </c>
      <c r="H31" s="56">
        <f>IFERROR(INDEX(tblClientes[Cuándo],MATCH(SMALL(tblClientes[Orden],ROWS($A$5:A31)),tblClientes[Orden],0)),"")</f>
        <v/>
      </c>
      <c r="I31" s="86">
        <f>IFERROR(INDEX(tblClientes[Próximo contacto],MATCH(SMALL(tblClientes[Orden],ROWS($A$5:A31)),tblClientes[Orden],0)),"")</f>
        <v/>
      </c>
      <c r="J31" s="56">
        <f>IFERROR(INDEX(tblClientes[Nota],MATCH(SMALL(tblClientes[Orden],ROWS($A$5:A31)),tblClientes[Orden],0)),"")</f>
        <v/>
      </c>
    </row>
    <row r="32" ht="22" customHeight="1">
      <c r="A32" s="56">
        <f>IFERROR(INDEX(tblClientes[Nombre],MATCH(SMALL(tblClientes[Orden],ROWS($A$5:A32)),tblClientes[Orden],0)),"")</f>
        <v/>
      </c>
      <c r="B32" s="57">
        <f>IFERROR(INDEX(tblClientes[Teléfono],MATCH(SMALL(tblClientes[Orden],ROWS($A$5:A32)),tblClientes[Orden],0)),"")</f>
        <v/>
      </c>
      <c r="C32" s="56">
        <f>IFERROR(INDEX(tblClientes[Vehículo],MATCH(SMALL(tblClientes[Orden],ROWS($A$5:A32)),tblClientes[Orden],0)),"")</f>
        <v/>
      </c>
      <c r="D32" s="56">
        <f>IFERROR(INDEX(tblClientes[Versión],MATCH(SMALL(tblClientes[Orden],ROWS($A$5:A32)),tblClientes[Orden],0)),"")</f>
        <v/>
      </c>
      <c r="E32" s="58">
        <f>IFERROR(INDEX(tblClientes[Valor cuota],MATCH(SMALL(tblClientes[Orden],ROWS($A$5:A32)),tblClientes[Orden],0)),"")</f>
        <v/>
      </c>
      <c r="F32" s="85">
        <f>IFERROR(INDEX(tblClientes[Plazo meses],MATCH(SMALL(tblClientes[Orden],ROWS($A$5:A32)),tblClientes[Orden],0)),"")</f>
        <v/>
      </c>
      <c r="G32" s="56">
        <f>IFERROR(INDEX(tblClientes[Estado],MATCH(SMALL(tblClientes[Orden],ROWS($A$5:A32)),tblClientes[Orden],0)),"")</f>
        <v/>
      </c>
      <c r="H32" s="56">
        <f>IFERROR(INDEX(tblClientes[Cuándo],MATCH(SMALL(tblClientes[Orden],ROWS($A$5:A32)),tblClientes[Orden],0)),"")</f>
        <v/>
      </c>
      <c r="I32" s="86">
        <f>IFERROR(INDEX(tblClientes[Próximo contacto],MATCH(SMALL(tblClientes[Orden],ROWS($A$5:A32)),tblClientes[Orden],0)),"")</f>
        <v/>
      </c>
      <c r="J32" s="56">
        <f>IFERROR(INDEX(tblClientes[Nota],MATCH(SMALL(tblClientes[Orden],ROWS($A$5:A32)),tblClientes[Orden],0)),"")</f>
        <v/>
      </c>
    </row>
    <row r="33" ht="22" customHeight="1">
      <c r="A33" s="56">
        <f>IFERROR(INDEX(tblClientes[Nombre],MATCH(SMALL(tblClientes[Orden],ROWS($A$5:A33)),tblClientes[Orden],0)),"")</f>
        <v/>
      </c>
      <c r="B33" s="57">
        <f>IFERROR(INDEX(tblClientes[Teléfono],MATCH(SMALL(tblClientes[Orden],ROWS($A$5:A33)),tblClientes[Orden],0)),"")</f>
        <v/>
      </c>
      <c r="C33" s="56">
        <f>IFERROR(INDEX(tblClientes[Vehículo],MATCH(SMALL(tblClientes[Orden],ROWS($A$5:A33)),tblClientes[Orden],0)),"")</f>
        <v/>
      </c>
      <c r="D33" s="56">
        <f>IFERROR(INDEX(tblClientes[Versión],MATCH(SMALL(tblClientes[Orden],ROWS($A$5:A33)),tblClientes[Orden],0)),"")</f>
        <v/>
      </c>
      <c r="E33" s="58">
        <f>IFERROR(INDEX(tblClientes[Valor cuota],MATCH(SMALL(tblClientes[Orden],ROWS($A$5:A33)),tblClientes[Orden],0)),"")</f>
        <v/>
      </c>
      <c r="F33" s="85">
        <f>IFERROR(INDEX(tblClientes[Plazo meses],MATCH(SMALL(tblClientes[Orden],ROWS($A$5:A33)),tblClientes[Orden],0)),"")</f>
        <v/>
      </c>
      <c r="G33" s="56">
        <f>IFERROR(INDEX(tblClientes[Estado],MATCH(SMALL(tblClientes[Orden],ROWS($A$5:A33)),tblClientes[Orden],0)),"")</f>
        <v/>
      </c>
      <c r="H33" s="56">
        <f>IFERROR(INDEX(tblClientes[Cuándo],MATCH(SMALL(tblClientes[Orden],ROWS($A$5:A33)),tblClientes[Orden],0)),"")</f>
        <v/>
      </c>
      <c r="I33" s="86">
        <f>IFERROR(INDEX(tblClientes[Próximo contacto],MATCH(SMALL(tblClientes[Orden],ROWS($A$5:A33)),tblClientes[Orden],0)),"")</f>
        <v/>
      </c>
      <c r="J33" s="56">
        <f>IFERROR(INDEX(tblClientes[Nota],MATCH(SMALL(tblClientes[Orden],ROWS($A$5:A33)),tblClientes[Orden],0)),"")</f>
        <v/>
      </c>
    </row>
    <row r="34" ht="22" customHeight="1">
      <c r="A34" s="56">
        <f>IFERROR(INDEX(tblClientes[Nombre],MATCH(SMALL(tblClientes[Orden],ROWS($A$5:A34)),tblClientes[Orden],0)),"")</f>
        <v/>
      </c>
      <c r="B34" s="57">
        <f>IFERROR(INDEX(tblClientes[Teléfono],MATCH(SMALL(tblClientes[Orden],ROWS($A$5:A34)),tblClientes[Orden],0)),"")</f>
        <v/>
      </c>
      <c r="C34" s="56">
        <f>IFERROR(INDEX(tblClientes[Vehículo],MATCH(SMALL(tblClientes[Orden],ROWS($A$5:A34)),tblClientes[Orden],0)),"")</f>
        <v/>
      </c>
      <c r="D34" s="56">
        <f>IFERROR(INDEX(tblClientes[Versión],MATCH(SMALL(tblClientes[Orden],ROWS($A$5:A34)),tblClientes[Orden],0)),"")</f>
        <v/>
      </c>
      <c r="E34" s="58">
        <f>IFERROR(INDEX(tblClientes[Valor cuota],MATCH(SMALL(tblClientes[Orden],ROWS($A$5:A34)),tblClientes[Orden],0)),"")</f>
        <v/>
      </c>
      <c r="F34" s="85">
        <f>IFERROR(INDEX(tblClientes[Plazo meses],MATCH(SMALL(tblClientes[Orden],ROWS($A$5:A34)),tblClientes[Orden],0)),"")</f>
        <v/>
      </c>
      <c r="G34" s="56">
        <f>IFERROR(INDEX(tblClientes[Estado],MATCH(SMALL(tblClientes[Orden],ROWS($A$5:A34)),tblClientes[Orden],0)),"")</f>
        <v/>
      </c>
      <c r="H34" s="56">
        <f>IFERROR(INDEX(tblClientes[Cuándo],MATCH(SMALL(tblClientes[Orden],ROWS($A$5:A34)),tblClientes[Orden],0)),"")</f>
        <v/>
      </c>
      <c r="I34" s="86">
        <f>IFERROR(INDEX(tblClientes[Próximo contacto],MATCH(SMALL(tblClientes[Orden],ROWS($A$5:A34)),tblClientes[Orden],0)),"")</f>
        <v/>
      </c>
      <c r="J34" s="56">
        <f>IFERROR(INDEX(tblClientes[Nota],MATCH(SMALL(tblClientes[Orden],ROWS($A$5:A34)),tblClientes[Orden],0)),"")</f>
        <v/>
      </c>
    </row>
  </sheetData>
  <sheetProtection selectLockedCells="1" selectUnlockedCells="1" sheet="1" objects="0" insertRows="0" insertHyperlinks="1" autoFilter="0" scenarios="0" formatColumns="1" deleteColumns="0" insertColumns="0" pivotTables="0" deleteRows="0" formatCells="0" formatRows="1" sort="0"/>
  <mergeCells count="2">
    <mergeCell ref="A1:J1"/>
    <mergeCell ref="A2:J2"/>
  </mergeCells>
  <conditionalFormatting sqref="G5:G34">
    <cfRule type="expression" priority="1" dxfId="0" stopIfTrue="1">
      <formula>G5="Renovar ahora"</formula>
    </cfRule>
    <cfRule type="expression" priority="2" dxfId="1" stopIfTrue="1">
      <formula>G5="Crédito terminado"</formula>
    </cfRule>
    <cfRule type="expression" priority="3" dxfId="2" stopIfTrue="1">
      <formula>G5="Pronto"</formula>
    </cfRule>
    <cfRule type="expression" priority="4" dxfId="3" stopIfTrue="1">
      <formula>G5="Ofrecer renovación"</formula>
    </cfRule>
  </conditionalFormatting>
  <conditionalFormatting sqref="A5:J34">
    <cfRule type="expression" priority="5" dxfId="13" stopIfTrue="0">
      <formula>AND($A5&lt;&gt;"",MOD(ROW(),2)=0)</formula>
    </cfRule>
  </conditionalFormatting>
  <printOptions horizontalCentered="1"/>
  <pageMargins left="0.4" right="0.4" top="0.5" bottom="0.4" header="0.2" footer="0.2"/>
  <pageSetup orientation="landscape" paperSize="9" scale="100" fitToHeight="1" fitToWidth="1"/>
  <headerFooter>
    <oddHeader/>
    <oddFooter>&amp;LCartera Honda&amp;RPágina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B7F4E"/>
    <outlinePr summaryBelow="1" summaryRight="1"/>
    <pageSetUpPr fitToPage="1"/>
  </sheetPr>
  <dimension ref="A1:S38"/>
  <sheetViews>
    <sheetView showGridLines="0" view="normal" zoomScale="11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4" customWidth="1" min="3" max="3"/>
    <col width="14" customWidth="1" min="4" max="4"/>
    <col width="16" customWidth="1" min="5" max="5"/>
    <col width="16" customWidth="1" min="6" max="6"/>
    <col width="16" customWidth="1" min="7" max="7"/>
    <col width="22" customWidth="1" min="8" max="8"/>
    <col width="3" customWidth="1" min="9" max="9"/>
    <col width="16" customWidth="1" min="10" max="10"/>
    <col width="12" customWidth="1" min="11" max="11"/>
    <col width="12" customWidth="1" min="12" max="12"/>
    <col width="12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hidden="1" width="13" customWidth="1" min="19" max="19"/>
  </cols>
  <sheetData>
    <row r="1" ht="36" customHeight="1">
      <c r="A1" s="1" t="inlineStr">
        <is>
          <t>PARA OFRECER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2" customHeight="1">
      <c r="A2" s="3" t="inlineStr">
        <is>
          <t>Elige el modelo y usa la cuota, el plazo y el valor que ya se ha cerrado.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 ht="6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 ht="8" customHeight="1"/>
    <row r="5" ht="36" customHeight="1">
      <c r="A5" s="5" t="inlineStr">
        <is>
          <t>VEHÍCULO</t>
        </is>
      </c>
      <c r="C5" s="87" t="inlineStr">
        <is>
          <t>WR-V</t>
        </is>
      </c>
      <c r="D5" s="7" t="n"/>
      <c r="E5" s="8" t="n"/>
    </row>
    <row r="6" ht="8" customHeight="1"/>
    <row r="7" ht="18" customHeight="1">
      <c r="A7" s="32" t="inlineStr">
        <is>
          <t>CUOTA TÍPICA</t>
        </is>
      </c>
      <c r="B7" s="15" t="n"/>
      <c r="C7" s="15" t="n"/>
      <c r="D7" s="31" t="inlineStr">
        <is>
          <t>PLAZO MÁS USADO</t>
        </is>
      </c>
      <c r="E7" s="13" t="n"/>
      <c r="F7" s="13" t="n"/>
      <c r="G7" s="33" t="inlineStr">
        <is>
          <t>VALOR TÍPICO</t>
        </is>
      </c>
      <c r="H7" s="34" t="n"/>
      <c r="I7" s="34" t="n"/>
    </row>
    <row r="8" ht="24" customHeight="1">
      <c r="A8" s="39">
        <f>IF(C5="","",IFERROR(AVERAGEIFS(tblClientes[Valor cuota],tblClientes[Vehículo],C5,tblClientes[Forma de pago],"Crédito",tblClientes[Valor cuota],"&gt;0"),""))</f>
        <v/>
      </c>
      <c r="B8" s="15" t="n"/>
      <c r="C8" s="15" t="n"/>
      <c r="D8" s="88">
        <f>IF(C5="","",IFERROR(MODE(tblClientes[Plazo oferta]),IFERROR(ROUND(AVERAGEIFS(tblClientes[Plazo meses],tblClientes[Vehículo],C5,tblClientes[Forma de pago],"Crédito",tblClientes[Plazo meses],"&gt;0"),0),"")))</f>
        <v/>
      </c>
      <c r="E8" s="13" t="n"/>
      <c r="F8" s="13" t="n"/>
      <c r="G8" s="40">
        <f>IF(C5="","",IFERROR(AVERAGEIFS(tblClientes[Valor vehículo],tblClientes[Vehículo],C5,tblClientes[Nombre],"?*",tblClientes[Valor vehículo],"&gt;0"),""))</f>
        <v/>
      </c>
      <c r="H8" s="34" t="n"/>
      <c r="I8" s="34" t="n"/>
    </row>
    <row r="9" ht="24" customHeight="1">
      <c r="A9" s="15" t="n"/>
      <c r="B9" s="15" t="n"/>
      <c r="C9" s="15" t="n"/>
      <c r="D9" s="13" t="n"/>
      <c r="E9" s="13" t="n"/>
      <c r="F9" s="13" t="n"/>
      <c r="G9" s="34" t="n"/>
      <c r="H9" s="34" t="n"/>
      <c r="I9" s="34" t="n"/>
    </row>
    <row r="10" ht="8" customHeight="1"/>
    <row r="11" ht="18" customHeight="1">
      <c r="A11" s="89" t="inlineStr">
        <is>
          <t>VENDIDOS</t>
        </is>
      </c>
      <c r="B11" s="90" t="n"/>
      <c r="C11" s="89" t="inlineStr">
        <is>
          <t>CONTADO</t>
        </is>
      </c>
      <c r="D11" s="90" t="n"/>
      <c r="E11" s="89" t="inlineStr">
        <is>
          <t>CRÉDITO</t>
        </is>
      </c>
      <c r="F11" s="90" t="n"/>
      <c r="G11" s="89" t="inlineStr">
        <is>
          <t>PIE TÍPICO</t>
        </is>
      </c>
      <c r="H11" s="90" t="n"/>
    </row>
    <row r="12" ht="28" customHeight="1">
      <c r="A12" s="91">
        <f>COUNTIFS(tblClientes[Vehículo],$C$5,tblClientes[Nombre],"?*")</f>
        <v/>
      </c>
      <c r="B12" s="90" t="n"/>
      <c r="C12" s="91">
        <f>COUNTIFS(tblClientes[Vehículo],$C$5,tblClientes[Forma de pago],"Contado",tblClientes[Nombre],"?*")</f>
        <v/>
      </c>
      <c r="D12" s="90" t="n"/>
      <c r="E12" s="91">
        <f>COUNTIFS(tblClientes[Vehículo],$C$5,tblClientes[Forma de pago],"Crédito",tblClientes[Nombre],"?*")</f>
        <v/>
      </c>
      <c r="F12" s="90" t="n"/>
      <c r="G12" s="92">
        <f>IFERROR(AVERAGEIFS(tblClientes[Pie],tblClientes[Vehículo],$C$5,tblClientes[Forma de pago],"Crédito",tblClientes[Pie],"&gt;0"),"")</f>
        <v/>
      </c>
      <c r="H12" s="90" t="n"/>
    </row>
    <row r="13" ht="8" customHeight="1"/>
    <row r="14">
      <c r="A14" s="93" t="inlineStr">
        <is>
          <t>CIERRES DE ESTE MODELO</t>
        </is>
      </c>
      <c r="J14" s="93" t="inlineStr">
        <is>
          <t>TODOS LOS MODELOS</t>
        </is>
      </c>
    </row>
    <row r="15">
      <c r="A15" s="46" t="inlineStr">
        <is>
          <t>Nombre</t>
        </is>
      </c>
      <c r="B15" s="46" t="inlineStr">
        <is>
          <t>Fecha</t>
        </is>
      </c>
      <c r="C15" s="46" t="inlineStr">
        <is>
          <t>Producto</t>
        </is>
      </c>
      <c r="D15" s="46" t="inlineStr">
        <is>
          <t>Plazo</t>
        </is>
      </c>
      <c r="E15" s="46" t="inlineStr">
        <is>
          <t>Cuota</t>
        </is>
      </c>
      <c r="F15" s="46" t="inlineStr">
        <is>
          <t>Valor</t>
        </is>
      </c>
      <c r="G15" s="46" t="inlineStr">
        <is>
          <t>Pie</t>
        </is>
      </c>
      <c r="H15" s="46" t="inlineStr">
        <is>
          <t>Estado</t>
        </is>
      </c>
      <c r="J15" s="94" t="inlineStr">
        <is>
          <t>Modelo</t>
        </is>
      </c>
      <c r="K15" s="94" t="inlineStr">
        <is>
          <t>Clientes</t>
        </is>
      </c>
      <c r="L15" s="94" t="inlineStr">
        <is>
          <t>Contado</t>
        </is>
      </c>
      <c r="M15" s="94" t="inlineStr">
        <is>
          <t>Crédito</t>
        </is>
      </c>
      <c r="N15" s="94" t="inlineStr">
        <is>
          <t>Valor típico</t>
        </is>
      </c>
      <c r="O15" s="94" t="inlineStr">
        <is>
          <t>Cuota típica</t>
        </is>
      </c>
      <c r="P15" s="94" t="inlineStr">
        <is>
          <t>Plazo promedio</t>
        </is>
      </c>
      <c r="S15" t="inlineStr">
        <is>
          <t>Cuota típica</t>
        </is>
      </c>
    </row>
    <row r="16" ht="22" customHeight="1">
      <c r="A16" s="56">
        <f>IF($C$5="","",IFERROR(INDEX(tblClientes[Nombre],MATCH(SMALL(tblClientes[Orden oferta],ROWS($A$16:A16)),tblClientes[Orden oferta],0)),""))</f>
        <v/>
      </c>
      <c r="B16" s="86">
        <f>IF($C$5="","",IFERROR(INDEX(tblClientes[Fecha compra],MATCH(SMALL(tblClientes[Orden oferta],ROWS($A$16:A16)),tblClientes[Orden oferta],0)),""))</f>
        <v/>
      </c>
      <c r="C16" s="56">
        <f>IF($C$5="","",IFERROR(INDEX(tblClientes[Producto],MATCH(SMALL(tblClientes[Orden oferta],ROWS($A$16:A16)),tblClientes[Orden oferta],0)),""))</f>
        <v/>
      </c>
      <c r="D16" s="85">
        <f>IF($C$5="","",IFERROR(INDEX(tblClientes[Plazo meses],MATCH(SMALL(tblClientes[Orden oferta],ROWS($A$16:A16)),tblClientes[Orden oferta],0)),""))</f>
        <v/>
      </c>
      <c r="E16" s="95">
        <f>IF($C$5="","",IFERROR(INDEX(tblClientes[Valor cuota],MATCH(SMALL(tblClientes[Orden oferta],ROWS($A$16:A16)),tblClientes[Orden oferta],0)),""))</f>
        <v/>
      </c>
      <c r="F16" s="96">
        <f>IF($C$5="","",IFERROR(INDEX(tblClientes[Valor vehículo],MATCH(SMALL(tblClientes[Orden oferta],ROWS($A$16:A16)),tblClientes[Orden oferta],0)),""))</f>
        <v/>
      </c>
      <c r="G16" s="96">
        <f>IF($C$5="","",IFERROR(INDEX(tblClientes[Pie],MATCH(SMALL(tblClientes[Orden oferta],ROWS($A$16:A16)),tblClientes[Orden oferta],0)),""))</f>
        <v/>
      </c>
      <c r="H16" s="56">
        <f>IF($C$5="","",IFERROR(INDEX(tblClientes[Estado],MATCH(SMALL(tblClientes[Orden oferta],ROWS($A$16:A16)),tblClientes[Orden oferta],0)),""))</f>
        <v/>
      </c>
      <c r="J16" s="97" t="inlineStr">
        <is>
          <t>City</t>
        </is>
      </c>
      <c r="K16" s="98">
        <f>COUNTIFS(tblClientes[Vehículo],J16,tblClientes[Nombre],"?*")</f>
        <v/>
      </c>
      <c r="L16" s="98">
        <f>COUNTIFS(tblClientes[Vehículo],J16,tblClientes[Forma de pago],"Contado",tblClientes[Nombre],"?*")</f>
        <v/>
      </c>
      <c r="M16" s="98">
        <f>COUNTIFS(tblClientes[Vehículo],J16,tblClientes[Forma de pago],"Crédito",tblClientes[Nombre],"?*")</f>
        <v/>
      </c>
      <c r="N16" s="99">
        <f>IF(K16=0,"",IFERROR(AVERAGEIFS(tblClientes[Valor vehículo],tblClientes[Vehículo],J16,tblClientes[Valor vehículo],"&gt;0"),""))</f>
        <v/>
      </c>
      <c r="O16" s="99">
        <f>IF(M16=0,"",IFERROR(AVERAGEIFS(tblClientes[Valor cuota],tblClientes[Vehículo],J16,tblClientes[Forma de pago],"Crédito",tblClientes[Valor cuota],"&gt;0"),""))</f>
        <v/>
      </c>
      <c r="P16" s="100">
        <f>IF(M16=0,"",IFERROR(ROUND(AVERAGEIFS(tblClientes[Plazo meses],tblClientes[Vehículo],J16,tblClientes[Forma de pago],"Crédito",tblClientes[Plazo meses],"&gt;0"),0),""))</f>
        <v/>
      </c>
      <c r="S16">
        <f>IF(OR(O16="",NOT(ISNUMBER(O16))),NA(),O16)</f>
        <v/>
      </c>
    </row>
    <row r="17" ht="22" customHeight="1">
      <c r="A17" s="56">
        <f>IF($C$5="","",IFERROR(INDEX(tblClientes[Nombre],MATCH(SMALL(tblClientes[Orden oferta],ROWS($A$16:A17)),tblClientes[Orden oferta],0)),""))</f>
        <v/>
      </c>
      <c r="B17" s="86">
        <f>IF($C$5="","",IFERROR(INDEX(tblClientes[Fecha compra],MATCH(SMALL(tblClientes[Orden oferta],ROWS($A$16:A17)),tblClientes[Orden oferta],0)),""))</f>
        <v/>
      </c>
      <c r="C17" s="56">
        <f>IF($C$5="","",IFERROR(INDEX(tblClientes[Producto],MATCH(SMALL(tblClientes[Orden oferta],ROWS($A$16:A17)),tblClientes[Orden oferta],0)),""))</f>
        <v/>
      </c>
      <c r="D17" s="85">
        <f>IF($C$5="","",IFERROR(INDEX(tblClientes[Plazo meses],MATCH(SMALL(tblClientes[Orden oferta],ROWS($A$16:A17)),tblClientes[Orden oferta],0)),""))</f>
        <v/>
      </c>
      <c r="E17" s="95">
        <f>IF($C$5="","",IFERROR(INDEX(tblClientes[Valor cuota],MATCH(SMALL(tblClientes[Orden oferta],ROWS($A$16:A17)),tblClientes[Orden oferta],0)),""))</f>
        <v/>
      </c>
      <c r="F17" s="96">
        <f>IF($C$5="","",IFERROR(INDEX(tblClientes[Valor vehículo],MATCH(SMALL(tblClientes[Orden oferta],ROWS($A$16:A17)),tblClientes[Orden oferta],0)),""))</f>
        <v/>
      </c>
      <c r="G17" s="96">
        <f>IF($C$5="","",IFERROR(INDEX(tblClientes[Pie],MATCH(SMALL(tblClientes[Orden oferta],ROWS($A$16:A17)),tblClientes[Orden oferta],0)),""))</f>
        <v/>
      </c>
      <c r="H17" s="56">
        <f>IF($C$5="","",IFERROR(INDEX(tblClientes[Estado],MATCH(SMALL(tblClientes[Orden oferta],ROWS($A$16:A17)),tblClientes[Orden oferta],0)),""))</f>
        <v/>
      </c>
      <c r="J17" s="97" t="inlineStr">
        <is>
          <t>WR-V</t>
        </is>
      </c>
      <c r="K17" s="98">
        <f>COUNTIFS(tblClientes[Vehículo],J17,tblClientes[Nombre],"?*")</f>
        <v/>
      </c>
      <c r="L17" s="98">
        <f>COUNTIFS(tblClientes[Vehículo],J17,tblClientes[Forma de pago],"Contado",tblClientes[Nombre],"?*")</f>
        <v/>
      </c>
      <c r="M17" s="98">
        <f>COUNTIFS(tblClientes[Vehículo],J17,tblClientes[Forma de pago],"Crédito",tblClientes[Nombre],"?*")</f>
        <v/>
      </c>
      <c r="N17" s="99">
        <f>IF(K17=0,"",IFERROR(AVERAGEIFS(tblClientes[Valor vehículo],tblClientes[Vehículo],J17,tblClientes[Valor vehículo],"&gt;0"),""))</f>
        <v/>
      </c>
      <c r="O17" s="99">
        <f>IF(M17=0,"",IFERROR(AVERAGEIFS(tblClientes[Valor cuota],tblClientes[Vehículo],J17,tblClientes[Forma de pago],"Crédito",tblClientes[Valor cuota],"&gt;0"),""))</f>
        <v/>
      </c>
      <c r="P17" s="100">
        <f>IF(M17=0,"",IFERROR(ROUND(AVERAGEIFS(tblClientes[Plazo meses],tblClientes[Vehículo],J17,tblClientes[Forma de pago],"Crédito",tblClientes[Plazo meses],"&gt;0"),0),""))</f>
        <v/>
      </c>
      <c r="S17">
        <f>IF(OR(O17="",NOT(ISNUMBER(O17))),NA(),O17)</f>
        <v/>
      </c>
    </row>
    <row r="18" ht="22" customHeight="1">
      <c r="A18" s="56">
        <f>IF($C$5="","",IFERROR(INDEX(tblClientes[Nombre],MATCH(SMALL(tblClientes[Orden oferta],ROWS($A$16:A18)),tblClientes[Orden oferta],0)),""))</f>
        <v/>
      </c>
      <c r="B18" s="86">
        <f>IF($C$5="","",IFERROR(INDEX(tblClientes[Fecha compra],MATCH(SMALL(tblClientes[Orden oferta],ROWS($A$16:A18)),tblClientes[Orden oferta],0)),""))</f>
        <v/>
      </c>
      <c r="C18" s="56">
        <f>IF($C$5="","",IFERROR(INDEX(tblClientes[Producto],MATCH(SMALL(tblClientes[Orden oferta],ROWS($A$16:A18)),tblClientes[Orden oferta],0)),""))</f>
        <v/>
      </c>
      <c r="D18" s="85">
        <f>IF($C$5="","",IFERROR(INDEX(tblClientes[Plazo meses],MATCH(SMALL(tblClientes[Orden oferta],ROWS($A$16:A18)),tblClientes[Orden oferta],0)),""))</f>
        <v/>
      </c>
      <c r="E18" s="95">
        <f>IF($C$5="","",IFERROR(INDEX(tblClientes[Valor cuota],MATCH(SMALL(tblClientes[Orden oferta],ROWS($A$16:A18)),tblClientes[Orden oferta],0)),""))</f>
        <v/>
      </c>
      <c r="F18" s="96">
        <f>IF($C$5="","",IFERROR(INDEX(tblClientes[Valor vehículo],MATCH(SMALL(tblClientes[Orden oferta],ROWS($A$16:A18)),tblClientes[Orden oferta],0)),""))</f>
        <v/>
      </c>
      <c r="G18" s="96">
        <f>IF($C$5="","",IFERROR(INDEX(tblClientes[Pie],MATCH(SMALL(tblClientes[Orden oferta],ROWS($A$16:A18)),tblClientes[Orden oferta],0)),""))</f>
        <v/>
      </c>
      <c r="H18" s="56">
        <f>IF($C$5="","",IFERROR(INDEX(tblClientes[Estado],MATCH(SMALL(tblClientes[Orden oferta],ROWS($A$16:A18)),tblClientes[Orden oferta],0)),""))</f>
        <v/>
      </c>
      <c r="J18" s="97" t="inlineStr">
        <is>
          <t>HR-V</t>
        </is>
      </c>
      <c r="K18" s="98">
        <f>COUNTIFS(tblClientes[Vehículo],J18,tblClientes[Nombre],"?*")</f>
        <v/>
      </c>
      <c r="L18" s="98">
        <f>COUNTIFS(tblClientes[Vehículo],J18,tblClientes[Forma de pago],"Contado",tblClientes[Nombre],"?*")</f>
        <v/>
      </c>
      <c r="M18" s="98">
        <f>COUNTIFS(tblClientes[Vehículo],J18,tblClientes[Forma de pago],"Crédito",tblClientes[Nombre],"?*")</f>
        <v/>
      </c>
      <c r="N18" s="99">
        <f>IF(K18=0,"",IFERROR(AVERAGEIFS(tblClientes[Valor vehículo],tblClientes[Vehículo],J18,tblClientes[Valor vehículo],"&gt;0"),""))</f>
        <v/>
      </c>
      <c r="O18" s="99">
        <f>IF(M18=0,"",IFERROR(AVERAGEIFS(tblClientes[Valor cuota],tblClientes[Vehículo],J18,tblClientes[Forma de pago],"Crédito",tblClientes[Valor cuota],"&gt;0"),""))</f>
        <v/>
      </c>
      <c r="P18" s="100">
        <f>IF(M18=0,"",IFERROR(ROUND(AVERAGEIFS(tblClientes[Plazo meses],tblClientes[Vehículo],J18,tblClientes[Forma de pago],"Crédito",tblClientes[Plazo meses],"&gt;0"),0),""))</f>
        <v/>
      </c>
      <c r="S18">
        <f>IF(OR(O18="",NOT(ISNUMBER(O18))),NA(),O18)</f>
        <v/>
      </c>
    </row>
    <row r="19" ht="22" customHeight="1">
      <c r="A19" s="56">
        <f>IF($C$5="","",IFERROR(INDEX(tblClientes[Nombre],MATCH(SMALL(tblClientes[Orden oferta],ROWS($A$16:A19)),tblClientes[Orden oferta],0)),""))</f>
        <v/>
      </c>
      <c r="B19" s="86">
        <f>IF($C$5="","",IFERROR(INDEX(tblClientes[Fecha compra],MATCH(SMALL(tblClientes[Orden oferta],ROWS($A$16:A19)),tblClientes[Orden oferta],0)),""))</f>
        <v/>
      </c>
      <c r="C19" s="56">
        <f>IF($C$5="","",IFERROR(INDEX(tblClientes[Producto],MATCH(SMALL(tblClientes[Orden oferta],ROWS($A$16:A19)),tblClientes[Orden oferta],0)),""))</f>
        <v/>
      </c>
      <c r="D19" s="85">
        <f>IF($C$5="","",IFERROR(INDEX(tblClientes[Plazo meses],MATCH(SMALL(tblClientes[Orden oferta],ROWS($A$16:A19)),tblClientes[Orden oferta],0)),""))</f>
        <v/>
      </c>
      <c r="E19" s="95">
        <f>IF($C$5="","",IFERROR(INDEX(tblClientes[Valor cuota],MATCH(SMALL(tblClientes[Orden oferta],ROWS($A$16:A19)),tblClientes[Orden oferta],0)),""))</f>
        <v/>
      </c>
      <c r="F19" s="96">
        <f>IF($C$5="","",IFERROR(INDEX(tblClientes[Valor vehículo],MATCH(SMALL(tblClientes[Orden oferta],ROWS($A$16:A19)),tblClientes[Orden oferta],0)),""))</f>
        <v/>
      </c>
      <c r="G19" s="96">
        <f>IF($C$5="","",IFERROR(INDEX(tblClientes[Pie],MATCH(SMALL(tblClientes[Orden oferta],ROWS($A$16:A19)),tblClientes[Orden oferta],0)),""))</f>
        <v/>
      </c>
      <c r="H19" s="56">
        <f>IF($C$5="","",IFERROR(INDEX(tblClientes[Estado],MATCH(SMALL(tblClientes[Orden oferta],ROWS($A$16:A19)),tblClientes[Orden oferta],0)),""))</f>
        <v/>
      </c>
      <c r="J19" s="97" t="inlineStr">
        <is>
          <t>ZR-V</t>
        </is>
      </c>
      <c r="K19" s="98">
        <f>COUNTIFS(tblClientes[Vehículo],J19,tblClientes[Nombre],"?*")</f>
        <v/>
      </c>
      <c r="L19" s="98">
        <f>COUNTIFS(tblClientes[Vehículo],J19,tblClientes[Forma de pago],"Contado",tblClientes[Nombre],"?*")</f>
        <v/>
      </c>
      <c r="M19" s="98">
        <f>COUNTIFS(tblClientes[Vehículo],J19,tblClientes[Forma de pago],"Crédito",tblClientes[Nombre],"?*")</f>
        <v/>
      </c>
      <c r="N19" s="99">
        <f>IF(K19=0,"",IFERROR(AVERAGEIFS(tblClientes[Valor vehículo],tblClientes[Vehículo],J19,tblClientes[Valor vehículo],"&gt;0"),""))</f>
        <v/>
      </c>
      <c r="O19" s="99">
        <f>IF(M19=0,"",IFERROR(AVERAGEIFS(tblClientes[Valor cuota],tblClientes[Vehículo],J19,tblClientes[Forma de pago],"Crédito",tblClientes[Valor cuota],"&gt;0"),""))</f>
        <v/>
      </c>
      <c r="P19" s="100">
        <f>IF(M19=0,"",IFERROR(ROUND(AVERAGEIFS(tblClientes[Plazo meses],tblClientes[Vehículo],J19,tblClientes[Forma de pago],"Crédito",tblClientes[Plazo meses],"&gt;0"),0),""))</f>
        <v/>
      </c>
      <c r="S19">
        <f>IF(OR(O19="",NOT(ISNUMBER(O19))),NA(),O19)</f>
        <v/>
      </c>
    </row>
    <row r="20" ht="22" customHeight="1">
      <c r="A20" s="56">
        <f>IF($C$5="","",IFERROR(INDEX(tblClientes[Nombre],MATCH(SMALL(tblClientes[Orden oferta],ROWS($A$16:A20)),tblClientes[Orden oferta],0)),""))</f>
        <v/>
      </c>
      <c r="B20" s="86">
        <f>IF($C$5="","",IFERROR(INDEX(tblClientes[Fecha compra],MATCH(SMALL(tblClientes[Orden oferta],ROWS($A$16:A20)),tblClientes[Orden oferta],0)),""))</f>
        <v/>
      </c>
      <c r="C20" s="56">
        <f>IF($C$5="","",IFERROR(INDEX(tblClientes[Producto],MATCH(SMALL(tblClientes[Orden oferta],ROWS($A$16:A20)),tblClientes[Orden oferta],0)),""))</f>
        <v/>
      </c>
      <c r="D20" s="85">
        <f>IF($C$5="","",IFERROR(INDEX(tblClientes[Plazo meses],MATCH(SMALL(tblClientes[Orden oferta],ROWS($A$16:A20)),tblClientes[Orden oferta],0)),""))</f>
        <v/>
      </c>
      <c r="E20" s="95">
        <f>IF($C$5="","",IFERROR(INDEX(tblClientes[Valor cuota],MATCH(SMALL(tblClientes[Orden oferta],ROWS($A$16:A20)),tblClientes[Orden oferta],0)),""))</f>
        <v/>
      </c>
      <c r="F20" s="96">
        <f>IF($C$5="","",IFERROR(INDEX(tblClientes[Valor vehículo],MATCH(SMALL(tblClientes[Orden oferta],ROWS($A$16:A20)),tblClientes[Orden oferta],0)),""))</f>
        <v/>
      </c>
      <c r="G20" s="96">
        <f>IF($C$5="","",IFERROR(INDEX(tblClientes[Pie],MATCH(SMALL(tblClientes[Orden oferta],ROWS($A$16:A20)),tblClientes[Orden oferta],0)),""))</f>
        <v/>
      </c>
      <c r="H20" s="56">
        <f>IF($C$5="","",IFERROR(INDEX(tblClientes[Estado],MATCH(SMALL(tblClientes[Orden oferta],ROWS($A$16:A20)),tblClientes[Orden oferta],0)),""))</f>
        <v/>
      </c>
      <c r="J20" s="97" t="inlineStr">
        <is>
          <t>CR-V</t>
        </is>
      </c>
      <c r="K20" s="98">
        <f>COUNTIFS(tblClientes[Vehículo],J20,tblClientes[Nombre],"?*")</f>
        <v/>
      </c>
      <c r="L20" s="98">
        <f>COUNTIFS(tblClientes[Vehículo],J20,tblClientes[Forma de pago],"Contado",tblClientes[Nombre],"?*")</f>
        <v/>
      </c>
      <c r="M20" s="98">
        <f>COUNTIFS(tblClientes[Vehículo],J20,tblClientes[Forma de pago],"Crédito",tblClientes[Nombre],"?*")</f>
        <v/>
      </c>
      <c r="N20" s="99">
        <f>IF(K20=0,"",IFERROR(AVERAGEIFS(tblClientes[Valor vehículo],tblClientes[Vehículo],J20,tblClientes[Valor vehículo],"&gt;0"),""))</f>
        <v/>
      </c>
      <c r="O20" s="99">
        <f>IF(M20=0,"",IFERROR(AVERAGEIFS(tblClientes[Valor cuota],tblClientes[Vehículo],J20,tblClientes[Forma de pago],"Crédito",tblClientes[Valor cuota],"&gt;0"),""))</f>
        <v/>
      </c>
      <c r="P20" s="100">
        <f>IF(M20=0,"",IFERROR(ROUND(AVERAGEIFS(tblClientes[Plazo meses],tblClientes[Vehículo],J20,tblClientes[Forma de pago],"Crédito",tblClientes[Plazo meses],"&gt;0"),0),""))</f>
        <v/>
      </c>
      <c r="S20">
        <f>IF(OR(O20="",NOT(ISNUMBER(O20))),NA(),O20)</f>
        <v/>
      </c>
    </row>
    <row r="21" ht="22" customHeight="1">
      <c r="A21" s="56">
        <f>IF($C$5="","",IFERROR(INDEX(tblClientes[Nombre],MATCH(SMALL(tblClientes[Orden oferta],ROWS($A$16:A21)),tblClientes[Orden oferta],0)),""))</f>
        <v/>
      </c>
      <c r="B21" s="86">
        <f>IF($C$5="","",IFERROR(INDEX(tblClientes[Fecha compra],MATCH(SMALL(tblClientes[Orden oferta],ROWS($A$16:A21)),tblClientes[Orden oferta],0)),""))</f>
        <v/>
      </c>
      <c r="C21" s="56">
        <f>IF($C$5="","",IFERROR(INDEX(tblClientes[Producto],MATCH(SMALL(tblClientes[Orden oferta],ROWS($A$16:A21)),tblClientes[Orden oferta],0)),""))</f>
        <v/>
      </c>
      <c r="D21" s="85">
        <f>IF($C$5="","",IFERROR(INDEX(tblClientes[Plazo meses],MATCH(SMALL(tblClientes[Orden oferta],ROWS($A$16:A21)),tblClientes[Orden oferta],0)),""))</f>
        <v/>
      </c>
      <c r="E21" s="95">
        <f>IF($C$5="","",IFERROR(INDEX(tblClientes[Valor cuota],MATCH(SMALL(tblClientes[Orden oferta],ROWS($A$16:A21)),tblClientes[Orden oferta],0)),""))</f>
        <v/>
      </c>
      <c r="F21" s="96">
        <f>IF($C$5="","",IFERROR(INDEX(tblClientes[Valor vehículo],MATCH(SMALL(tblClientes[Orden oferta],ROWS($A$16:A21)),tblClientes[Orden oferta],0)),""))</f>
        <v/>
      </c>
      <c r="G21" s="96">
        <f>IF($C$5="","",IFERROR(INDEX(tblClientes[Pie],MATCH(SMALL(tblClientes[Orden oferta],ROWS($A$16:A21)),tblClientes[Orden oferta],0)),""))</f>
        <v/>
      </c>
      <c r="H21" s="56">
        <f>IF($C$5="","",IFERROR(INDEX(tblClientes[Estado],MATCH(SMALL(tblClientes[Orden oferta],ROWS($A$16:A21)),tblClientes[Orden oferta],0)),""))</f>
        <v/>
      </c>
      <c r="J21" s="97" t="inlineStr">
        <is>
          <t>Civic</t>
        </is>
      </c>
      <c r="K21" s="98">
        <f>COUNTIFS(tblClientes[Vehículo],J21,tblClientes[Nombre],"?*")</f>
        <v/>
      </c>
      <c r="L21" s="98">
        <f>COUNTIFS(tblClientes[Vehículo],J21,tblClientes[Forma de pago],"Contado",tblClientes[Nombre],"?*")</f>
        <v/>
      </c>
      <c r="M21" s="98">
        <f>COUNTIFS(tblClientes[Vehículo],J21,tblClientes[Forma de pago],"Crédito",tblClientes[Nombre],"?*")</f>
        <v/>
      </c>
      <c r="N21" s="99">
        <f>IF(K21=0,"",IFERROR(AVERAGEIFS(tblClientes[Valor vehículo],tblClientes[Vehículo],J21,tblClientes[Valor vehículo],"&gt;0"),""))</f>
        <v/>
      </c>
      <c r="O21" s="99">
        <f>IF(M21=0,"",IFERROR(AVERAGEIFS(tblClientes[Valor cuota],tblClientes[Vehículo],J21,tblClientes[Forma de pago],"Crédito",tblClientes[Valor cuota],"&gt;0"),""))</f>
        <v/>
      </c>
      <c r="P21" s="100">
        <f>IF(M21=0,"",IFERROR(ROUND(AVERAGEIFS(tblClientes[Plazo meses],tblClientes[Vehículo],J21,tblClientes[Forma de pago],"Crédito",tblClientes[Plazo meses],"&gt;0"),0),""))</f>
        <v/>
      </c>
      <c r="S21">
        <f>IF(OR(O21="",NOT(ISNUMBER(O21))),NA(),O21)</f>
        <v/>
      </c>
    </row>
    <row r="22" ht="22" customHeight="1">
      <c r="A22" s="56">
        <f>IF($C$5="","",IFERROR(INDEX(tblClientes[Nombre],MATCH(SMALL(tblClientes[Orden oferta],ROWS($A$16:A22)),tblClientes[Orden oferta],0)),""))</f>
        <v/>
      </c>
      <c r="B22" s="86">
        <f>IF($C$5="","",IFERROR(INDEX(tblClientes[Fecha compra],MATCH(SMALL(tblClientes[Orden oferta],ROWS($A$16:A22)),tblClientes[Orden oferta],0)),""))</f>
        <v/>
      </c>
      <c r="C22" s="56">
        <f>IF($C$5="","",IFERROR(INDEX(tblClientes[Producto],MATCH(SMALL(tblClientes[Orden oferta],ROWS($A$16:A22)),tblClientes[Orden oferta],0)),""))</f>
        <v/>
      </c>
      <c r="D22" s="85">
        <f>IF($C$5="","",IFERROR(INDEX(tblClientes[Plazo meses],MATCH(SMALL(tblClientes[Orden oferta],ROWS($A$16:A22)),tblClientes[Orden oferta],0)),""))</f>
        <v/>
      </c>
      <c r="E22" s="95">
        <f>IF($C$5="","",IFERROR(INDEX(tblClientes[Valor cuota],MATCH(SMALL(tblClientes[Orden oferta],ROWS($A$16:A22)),tblClientes[Orden oferta],0)),""))</f>
        <v/>
      </c>
      <c r="F22" s="96">
        <f>IF($C$5="","",IFERROR(INDEX(tblClientes[Valor vehículo],MATCH(SMALL(tblClientes[Orden oferta],ROWS($A$16:A22)),tblClientes[Orden oferta],0)),""))</f>
        <v/>
      </c>
      <c r="G22" s="96">
        <f>IF($C$5="","",IFERROR(INDEX(tblClientes[Pie],MATCH(SMALL(tblClientes[Orden oferta],ROWS($A$16:A22)),tblClientes[Orden oferta],0)),""))</f>
        <v/>
      </c>
      <c r="H22" s="56">
        <f>IF($C$5="","",IFERROR(INDEX(tblClientes[Estado],MATCH(SMALL(tblClientes[Orden oferta],ROWS($A$16:A22)),tblClientes[Orden oferta],0)),""))</f>
        <v/>
      </c>
      <c r="J22" s="97" t="inlineStr">
        <is>
          <t>Accord</t>
        </is>
      </c>
      <c r="K22" s="98">
        <f>COUNTIFS(tblClientes[Vehículo],J22,tblClientes[Nombre],"?*")</f>
        <v/>
      </c>
      <c r="L22" s="98">
        <f>COUNTIFS(tblClientes[Vehículo],J22,tblClientes[Forma de pago],"Contado",tblClientes[Nombre],"?*")</f>
        <v/>
      </c>
      <c r="M22" s="98">
        <f>COUNTIFS(tblClientes[Vehículo],J22,tblClientes[Forma de pago],"Crédito",tblClientes[Nombre],"?*")</f>
        <v/>
      </c>
      <c r="N22" s="99">
        <f>IF(K22=0,"",IFERROR(AVERAGEIFS(tblClientes[Valor vehículo],tblClientes[Vehículo],J22,tblClientes[Valor vehículo],"&gt;0"),""))</f>
        <v/>
      </c>
      <c r="O22" s="99">
        <f>IF(M22=0,"",IFERROR(AVERAGEIFS(tblClientes[Valor cuota],tblClientes[Vehículo],J22,tblClientes[Forma de pago],"Crédito",tblClientes[Valor cuota],"&gt;0"),""))</f>
        <v/>
      </c>
      <c r="P22" s="100">
        <f>IF(M22=0,"",IFERROR(ROUND(AVERAGEIFS(tblClientes[Plazo meses],tblClientes[Vehículo],J22,tblClientes[Forma de pago],"Crédito",tblClientes[Plazo meses],"&gt;0"),0),""))</f>
        <v/>
      </c>
      <c r="S22">
        <f>IF(OR(O22="",NOT(ISNUMBER(O22))),NA(),O22)</f>
        <v/>
      </c>
    </row>
    <row r="23" ht="22" customHeight="1">
      <c r="A23" s="56">
        <f>IF($C$5="","",IFERROR(INDEX(tblClientes[Nombre],MATCH(SMALL(tblClientes[Orden oferta],ROWS($A$16:A23)),tblClientes[Orden oferta],0)),""))</f>
        <v/>
      </c>
      <c r="B23" s="86">
        <f>IF($C$5="","",IFERROR(INDEX(tblClientes[Fecha compra],MATCH(SMALL(tblClientes[Orden oferta],ROWS($A$16:A23)),tblClientes[Orden oferta],0)),""))</f>
        <v/>
      </c>
      <c r="C23" s="56">
        <f>IF($C$5="","",IFERROR(INDEX(tblClientes[Producto],MATCH(SMALL(tblClientes[Orden oferta],ROWS($A$16:A23)),tblClientes[Orden oferta],0)),""))</f>
        <v/>
      </c>
      <c r="D23" s="85">
        <f>IF($C$5="","",IFERROR(INDEX(tblClientes[Plazo meses],MATCH(SMALL(tblClientes[Orden oferta],ROWS($A$16:A23)),tblClientes[Orden oferta],0)),""))</f>
        <v/>
      </c>
      <c r="E23" s="95">
        <f>IF($C$5="","",IFERROR(INDEX(tblClientes[Valor cuota],MATCH(SMALL(tblClientes[Orden oferta],ROWS($A$16:A23)),tblClientes[Orden oferta],0)),""))</f>
        <v/>
      </c>
      <c r="F23" s="96">
        <f>IF($C$5="","",IFERROR(INDEX(tblClientes[Valor vehículo],MATCH(SMALL(tblClientes[Orden oferta],ROWS($A$16:A23)),tblClientes[Orden oferta],0)),""))</f>
        <v/>
      </c>
      <c r="G23" s="96">
        <f>IF($C$5="","",IFERROR(INDEX(tblClientes[Pie],MATCH(SMALL(tblClientes[Orden oferta],ROWS($A$16:A23)),tblClientes[Orden oferta],0)),""))</f>
        <v/>
      </c>
      <c r="H23" s="56">
        <f>IF($C$5="","",IFERROR(INDEX(tblClientes[Estado],MATCH(SMALL(tblClientes[Orden oferta],ROWS($A$16:A23)),tblClientes[Orden oferta],0)),""))</f>
        <v/>
      </c>
      <c r="J23" s="97" t="inlineStr">
        <is>
          <t>Pilot</t>
        </is>
      </c>
      <c r="K23" s="98">
        <f>COUNTIFS(tblClientes[Vehículo],J23,tblClientes[Nombre],"?*")</f>
        <v/>
      </c>
      <c r="L23" s="98">
        <f>COUNTIFS(tblClientes[Vehículo],J23,tblClientes[Forma de pago],"Contado",tblClientes[Nombre],"?*")</f>
        <v/>
      </c>
      <c r="M23" s="98">
        <f>COUNTIFS(tblClientes[Vehículo],J23,tblClientes[Forma de pago],"Crédito",tblClientes[Nombre],"?*")</f>
        <v/>
      </c>
      <c r="N23" s="99">
        <f>IF(K23=0,"",IFERROR(AVERAGEIFS(tblClientes[Valor vehículo],tblClientes[Vehículo],J23,tblClientes[Valor vehículo],"&gt;0"),""))</f>
        <v/>
      </c>
      <c r="O23" s="99">
        <f>IF(M23=0,"",IFERROR(AVERAGEIFS(tblClientes[Valor cuota],tblClientes[Vehículo],J23,tblClientes[Forma de pago],"Crédito",tblClientes[Valor cuota],"&gt;0"),""))</f>
        <v/>
      </c>
      <c r="P23" s="100">
        <f>IF(M23=0,"",IFERROR(ROUND(AVERAGEIFS(tblClientes[Plazo meses],tblClientes[Vehículo],J23,tblClientes[Forma de pago],"Crédito",tblClientes[Plazo meses],"&gt;0"),0),""))</f>
        <v/>
      </c>
      <c r="S23">
        <f>IF(OR(O23="",NOT(ISNUMBER(O23))),NA(),O23)</f>
        <v/>
      </c>
    </row>
    <row r="24" ht="22" customHeight="1">
      <c r="A24" s="56">
        <f>IF($C$5="","",IFERROR(INDEX(tblClientes[Nombre],MATCH(SMALL(tblClientes[Orden oferta],ROWS($A$16:A24)),tblClientes[Orden oferta],0)),""))</f>
        <v/>
      </c>
      <c r="B24" s="86">
        <f>IF($C$5="","",IFERROR(INDEX(tblClientes[Fecha compra],MATCH(SMALL(tblClientes[Orden oferta],ROWS($A$16:A24)),tblClientes[Orden oferta],0)),""))</f>
        <v/>
      </c>
      <c r="C24" s="56">
        <f>IF($C$5="","",IFERROR(INDEX(tblClientes[Producto],MATCH(SMALL(tblClientes[Orden oferta],ROWS($A$16:A24)),tblClientes[Orden oferta],0)),""))</f>
        <v/>
      </c>
      <c r="D24" s="85">
        <f>IF($C$5="","",IFERROR(INDEX(tblClientes[Plazo meses],MATCH(SMALL(tblClientes[Orden oferta],ROWS($A$16:A24)),tblClientes[Orden oferta],0)),""))</f>
        <v/>
      </c>
      <c r="E24" s="95">
        <f>IF($C$5="","",IFERROR(INDEX(tblClientes[Valor cuota],MATCH(SMALL(tblClientes[Orden oferta],ROWS($A$16:A24)),tblClientes[Orden oferta],0)),""))</f>
        <v/>
      </c>
      <c r="F24" s="96">
        <f>IF($C$5="","",IFERROR(INDEX(tblClientes[Valor vehículo],MATCH(SMALL(tblClientes[Orden oferta],ROWS($A$16:A24)),tblClientes[Orden oferta],0)),""))</f>
        <v/>
      </c>
      <c r="G24" s="96">
        <f>IF($C$5="","",IFERROR(INDEX(tblClientes[Pie],MATCH(SMALL(tblClientes[Orden oferta],ROWS($A$16:A24)),tblClientes[Orden oferta],0)),""))</f>
        <v/>
      </c>
      <c r="H24" s="56">
        <f>IF($C$5="","",IFERROR(INDEX(tblClientes[Estado],MATCH(SMALL(tblClientes[Orden oferta],ROWS($A$16:A24)),tblClientes[Orden oferta],0)),""))</f>
        <v/>
      </c>
      <c r="J24" s="97" t="inlineStr">
        <is>
          <t>BR-V</t>
        </is>
      </c>
      <c r="K24" s="98">
        <f>COUNTIFS(tblClientes[Vehículo],J24,tblClientes[Nombre],"?*")</f>
        <v/>
      </c>
      <c r="L24" s="98">
        <f>COUNTIFS(tblClientes[Vehículo],J24,tblClientes[Forma de pago],"Contado",tblClientes[Nombre],"?*")</f>
        <v/>
      </c>
      <c r="M24" s="98">
        <f>COUNTIFS(tblClientes[Vehículo],J24,tblClientes[Forma de pago],"Crédito",tblClientes[Nombre],"?*")</f>
        <v/>
      </c>
      <c r="N24" s="99">
        <f>IF(K24=0,"",IFERROR(AVERAGEIFS(tblClientes[Valor vehículo],tblClientes[Vehículo],J24,tblClientes[Valor vehículo],"&gt;0"),""))</f>
        <v/>
      </c>
      <c r="O24" s="99">
        <f>IF(M24=0,"",IFERROR(AVERAGEIFS(tblClientes[Valor cuota],tblClientes[Vehículo],J24,tblClientes[Forma de pago],"Crédito",tblClientes[Valor cuota],"&gt;0"),""))</f>
        <v/>
      </c>
      <c r="P24" s="100">
        <f>IF(M24=0,"",IFERROR(ROUND(AVERAGEIFS(tblClientes[Plazo meses],tblClientes[Vehículo],J24,tblClientes[Forma de pago],"Crédito",tblClientes[Plazo meses],"&gt;0"),0),""))</f>
        <v/>
      </c>
      <c r="S24">
        <f>IF(OR(O24="",NOT(ISNUMBER(O24))),NA(),O24)</f>
        <v/>
      </c>
    </row>
    <row r="25" ht="22" customHeight="1">
      <c r="A25" s="56">
        <f>IF($C$5="","",IFERROR(INDEX(tblClientes[Nombre],MATCH(SMALL(tblClientes[Orden oferta],ROWS($A$16:A25)),tblClientes[Orden oferta],0)),""))</f>
        <v/>
      </c>
      <c r="B25" s="86">
        <f>IF($C$5="","",IFERROR(INDEX(tblClientes[Fecha compra],MATCH(SMALL(tblClientes[Orden oferta],ROWS($A$16:A25)),tblClientes[Orden oferta],0)),""))</f>
        <v/>
      </c>
      <c r="C25" s="56">
        <f>IF($C$5="","",IFERROR(INDEX(tblClientes[Producto],MATCH(SMALL(tblClientes[Orden oferta],ROWS($A$16:A25)),tblClientes[Orden oferta],0)),""))</f>
        <v/>
      </c>
      <c r="D25" s="85">
        <f>IF($C$5="","",IFERROR(INDEX(tblClientes[Plazo meses],MATCH(SMALL(tblClientes[Orden oferta],ROWS($A$16:A25)),tblClientes[Orden oferta],0)),""))</f>
        <v/>
      </c>
      <c r="E25" s="95">
        <f>IF($C$5="","",IFERROR(INDEX(tblClientes[Valor cuota],MATCH(SMALL(tblClientes[Orden oferta],ROWS($A$16:A25)),tblClientes[Orden oferta],0)),""))</f>
        <v/>
      </c>
      <c r="F25" s="96">
        <f>IF($C$5="","",IFERROR(INDEX(tblClientes[Valor vehículo],MATCH(SMALL(tblClientes[Orden oferta],ROWS($A$16:A25)),tblClientes[Orden oferta],0)),""))</f>
        <v/>
      </c>
      <c r="G25" s="96">
        <f>IF($C$5="","",IFERROR(INDEX(tblClientes[Pie],MATCH(SMALL(tblClientes[Orden oferta],ROWS($A$16:A25)),tblClientes[Orden oferta],0)),""))</f>
        <v/>
      </c>
      <c r="H25" s="56">
        <f>IF($C$5="","",IFERROR(INDEX(tblClientes[Estado],MATCH(SMALL(tblClientes[Orden oferta],ROWS($A$16:A25)),tblClientes[Orden oferta],0)),""))</f>
        <v/>
      </c>
    </row>
    <row r="26" ht="22" customHeight="1">
      <c r="A26" s="56">
        <f>IF($C$5="","",IFERROR(INDEX(tblClientes[Nombre],MATCH(SMALL(tblClientes[Orden oferta],ROWS($A$16:A26)),tblClientes[Orden oferta],0)),""))</f>
        <v/>
      </c>
      <c r="B26" s="86">
        <f>IF($C$5="","",IFERROR(INDEX(tblClientes[Fecha compra],MATCH(SMALL(tblClientes[Orden oferta],ROWS($A$16:A26)),tblClientes[Orden oferta],0)),""))</f>
        <v/>
      </c>
      <c r="C26" s="56">
        <f>IF($C$5="","",IFERROR(INDEX(tblClientes[Producto],MATCH(SMALL(tblClientes[Orden oferta],ROWS($A$16:A26)),tblClientes[Orden oferta],0)),""))</f>
        <v/>
      </c>
      <c r="D26" s="85">
        <f>IF($C$5="","",IFERROR(INDEX(tblClientes[Plazo meses],MATCH(SMALL(tblClientes[Orden oferta],ROWS($A$16:A26)),tblClientes[Orden oferta],0)),""))</f>
        <v/>
      </c>
      <c r="E26" s="95">
        <f>IF($C$5="","",IFERROR(INDEX(tblClientes[Valor cuota],MATCH(SMALL(tblClientes[Orden oferta],ROWS($A$16:A26)),tblClientes[Orden oferta],0)),""))</f>
        <v/>
      </c>
      <c r="F26" s="96">
        <f>IF($C$5="","",IFERROR(INDEX(tblClientes[Valor vehículo],MATCH(SMALL(tblClientes[Orden oferta],ROWS($A$16:A26)),tblClientes[Orden oferta],0)),""))</f>
        <v/>
      </c>
      <c r="G26" s="96">
        <f>IF($C$5="","",IFERROR(INDEX(tblClientes[Pie],MATCH(SMALL(tblClientes[Orden oferta],ROWS($A$16:A26)),tblClientes[Orden oferta],0)),""))</f>
        <v/>
      </c>
      <c r="H26" s="56">
        <f>IF($C$5="","",IFERROR(INDEX(tblClientes[Estado],MATCH(SMALL(tblClientes[Orden oferta],ROWS($A$16:A26)),tblClientes[Orden oferta],0)),""))</f>
        <v/>
      </c>
    </row>
    <row r="27" ht="22" customHeight="1">
      <c r="A27" s="56">
        <f>IF($C$5="","",IFERROR(INDEX(tblClientes[Nombre],MATCH(SMALL(tblClientes[Orden oferta],ROWS($A$16:A27)),tblClientes[Orden oferta],0)),""))</f>
        <v/>
      </c>
      <c r="B27" s="86">
        <f>IF($C$5="","",IFERROR(INDEX(tblClientes[Fecha compra],MATCH(SMALL(tblClientes[Orden oferta],ROWS($A$16:A27)),tblClientes[Orden oferta],0)),""))</f>
        <v/>
      </c>
      <c r="C27" s="56">
        <f>IF($C$5="","",IFERROR(INDEX(tblClientes[Producto],MATCH(SMALL(tblClientes[Orden oferta],ROWS($A$16:A27)),tblClientes[Orden oferta],0)),""))</f>
        <v/>
      </c>
      <c r="D27" s="85">
        <f>IF($C$5="","",IFERROR(INDEX(tblClientes[Plazo meses],MATCH(SMALL(tblClientes[Orden oferta],ROWS($A$16:A27)),tblClientes[Orden oferta],0)),""))</f>
        <v/>
      </c>
      <c r="E27" s="95">
        <f>IF($C$5="","",IFERROR(INDEX(tblClientes[Valor cuota],MATCH(SMALL(tblClientes[Orden oferta],ROWS($A$16:A27)),tblClientes[Orden oferta],0)),""))</f>
        <v/>
      </c>
      <c r="F27" s="96">
        <f>IF($C$5="","",IFERROR(INDEX(tblClientes[Valor vehículo],MATCH(SMALL(tblClientes[Orden oferta],ROWS($A$16:A27)),tblClientes[Orden oferta],0)),""))</f>
        <v/>
      </c>
      <c r="G27" s="96">
        <f>IF($C$5="","",IFERROR(INDEX(tblClientes[Pie],MATCH(SMALL(tblClientes[Orden oferta],ROWS($A$16:A27)),tblClientes[Orden oferta],0)),""))</f>
        <v/>
      </c>
      <c r="H27" s="56">
        <f>IF($C$5="","",IFERROR(INDEX(tblClientes[Estado],MATCH(SMALL(tblClientes[Orden oferta],ROWS($A$16:A27)),tblClientes[Orden oferta],0)),""))</f>
        <v/>
      </c>
    </row>
    <row r="32">
      <c r="A32" s="101" t="inlineStr">
        <is>
          <t>FRONX</t>
        </is>
      </c>
      <c r="B32" s="2" t="n"/>
      <c r="C32" s="2" t="n"/>
    </row>
    <row r="33">
      <c r="A33" s="102" t="inlineStr">
        <is>
          <t>NO TRAE</t>
        </is>
      </c>
    </row>
    <row r="34">
      <c r="A34" s="102" t="inlineStr">
        <is>
          <t>Fronx · Censor delantero</t>
        </is>
      </c>
    </row>
    <row r="35">
      <c r="A35" s="102" t="inlineStr">
        <is>
          <t>Hecho en India</t>
        </is>
      </c>
    </row>
    <row r="36">
      <c r="A36" s="102" t="inlineStr">
        <is>
          <t>Llantas de un tono</t>
        </is>
      </c>
    </row>
    <row r="37">
      <c r="A37" s="102" t="inlineStr">
        <is>
          <t>Maleta chica</t>
        </is>
      </c>
    </row>
    <row r="38">
      <c r="A38" s="102" t="inlineStr">
        <is>
          <t>Precio 17.500.000 a 19.000.000</t>
        </is>
      </c>
    </row>
  </sheetData>
  <sheetProtection selectLockedCells="1" selectUnlockedCells="1" sheet="1" objects="0" insertRows="0" insertHyperlinks="1" autoFilter="0" scenarios="0" formatColumns="1" deleteColumns="0" insertColumns="0" pivotTables="0" deleteRows="0" formatCells="0" formatRows="1" sort="0"/>
  <mergeCells count="26">
    <mergeCell ref="E12:F12"/>
    <mergeCell ref="G12:H12"/>
    <mergeCell ref="A37:C37"/>
    <mergeCell ref="A11:B11"/>
    <mergeCell ref="G11:H11"/>
    <mergeCell ref="D7:F7"/>
    <mergeCell ref="A33:C33"/>
    <mergeCell ref="A2:R2"/>
    <mergeCell ref="A32:C32"/>
    <mergeCell ref="G8:I9"/>
    <mergeCell ref="A35:C35"/>
    <mergeCell ref="A38:C38"/>
    <mergeCell ref="A12:B12"/>
    <mergeCell ref="C12:D12"/>
    <mergeCell ref="C11:D11"/>
    <mergeCell ref="E11:F11"/>
    <mergeCell ref="A14:H14"/>
    <mergeCell ref="A34:C34"/>
    <mergeCell ref="A36:C36"/>
    <mergeCell ref="J14:R14"/>
    <mergeCell ref="C5:E5"/>
    <mergeCell ref="A8:C9"/>
    <mergeCell ref="A1:R1"/>
    <mergeCell ref="A7:C7"/>
    <mergeCell ref="G7:I7"/>
    <mergeCell ref="D8:F9"/>
  </mergeCells>
  <dataValidations count="1">
    <dataValidation sqref="C5" showDropDown="0" showInputMessage="1" showErrorMessage="1" allowBlank="1" errorTitle="Lista" error="Puedes elegir de la lista o escribir otro valor." promptTitle="Elige" prompt="Elige el modelo" type="list" errorStyle="warning">
      <formula1>=ListaVehiculos</formula1>
    </dataValidation>
  </dataValidations>
  <printOptions horizontalCentered="1"/>
  <pageMargins left="0.4" right="0.4" top="0.5" bottom="0.4" header="0.2" footer="0.2"/>
  <pageSetup orientation="landscape" paperSize="9" scale="100" fitToHeight="1" fitToWidth="1"/>
  <headerFooter>
    <oddHeader/>
    <oddFooter>&amp;LCartera Honda&amp;RPágina 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3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6" customWidth="1" min="4" max="4"/>
    <col width="42" customWidth="1" min="5" max="5"/>
    <col width="16" customWidth="1" min="6" max="6"/>
    <col width="12" customWidth="1" min="7" max="7"/>
    <col width="28" customWidth="1" min="8" max="8"/>
  </cols>
  <sheetData>
    <row r="1" ht="36" customHeight="1">
      <c r="A1" s="1" t="inlineStr">
        <is>
          <t>AGENDA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Gente que todavía no compra. Escribe en amarillo. Hecho = Sí cuando ya los llamaste.</t>
        </is>
      </c>
      <c r="B2" s="2" t="n"/>
      <c r="C2" s="2" t="n"/>
      <c r="D2" s="2" t="n"/>
      <c r="E2" s="2" t="n"/>
      <c r="F2" s="2" t="n"/>
      <c r="G2" s="2" t="n"/>
      <c r="H2" s="2" t="n"/>
    </row>
    <row r="3" ht="6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4" ht="30" customHeight="1">
      <c r="A4" s="68" t="inlineStr">
        <is>
          <t>Nombre</t>
        </is>
      </c>
      <c r="B4" s="68" t="inlineStr">
        <is>
          <t>Teléfono</t>
        </is>
      </c>
      <c r="C4" s="68" t="inlineStr">
        <is>
          <t>Vehículo</t>
        </is>
      </c>
      <c r="D4" s="68" t="inlineStr">
        <is>
          <t>Versión</t>
        </is>
      </c>
      <c r="E4" s="68" t="inlineStr">
        <is>
          <t>Pendiente</t>
        </is>
      </c>
      <c r="F4" s="68" t="inlineStr">
        <is>
          <t>Fecha</t>
        </is>
      </c>
      <c r="G4" s="68" t="inlineStr">
        <is>
          <t>Hecho</t>
        </is>
      </c>
      <c r="H4" s="68" t="inlineStr">
        <is>
          <t>Nota</t>
        </is>
      </c>
    </row>
    <row r="5" ht="22" customHeight="1">
      <c r="A5" s="103" t="inlineStr">
        <is>
          <t>Robert Mata</t>
        </is>
      </c>
      <c r="B5" s="103" t="n"/>
      <c r="C5" s="103" t="inlineStr">
        <is>
          <t>WR-V</t>
        </is>
      </c>
      <c r="D5" s="103" t="n"/>
      <c r="E5" s="103" t="n"/>
      <c r="F5" s="104" t="n"/>
      <c r="G5" s="103" t="n"/>
      <c r="H5" s="103" t="n"/>
    </row>
    <row r="6" ht="22" customHeight="1">
      <c r="A6" s="103" t="inlineStr">
        <is>
          <t>Daniel Araneda</t>
        </is>
      </c>
      <c r="B6" s="103" t="n"/>
      <c r="C6" s="103" t="n"/>
      <c r="D6" s="103" t="n"/>
      <c r="E6" s="103" t="inlineStr">
        <is>
          <t>Escribir el Jueves</t>
        </is>
      </c>
      <c r="F6" s="104" t="n"/>
      <c r="G6" s="103" t="n"/>
      <c r="H6" s="103" t="n"/>
    </row>
    <row r="7" ht="22" customHeight="1">
      <c r="A7" s="103" t="inlineStr">
        <is>
          <t>Jose Burgos</t>
        </is>
      </c>
      <c r="B7" s="103" t="n"/>
      <c r="C7" s="103" t="n"/>
      <c r="D7" s="103" t="n"/>
      <c r="E7" s="103" t="inlineStr">
        <is>
          <t>Escribir el Jueves</t>
        </is>
      </c>
      <c r="F7" s="104" t="n"/>
      <c r="G7" s="103" t="n"/>
      <c r="H7" s="103" t="n"/>
    </row>
    <row r="8" ht="22" customHeight="1">
      <c r="A8" s="103" t="inlineStr">
        <is>
          <t>Alessandra Zambrano</t>
        </is>
      </c>
      <c r="B8" s="103" t="n"/>
      <c r="C8" s="103" t="n"/>
      <c r="D8" s="103" t="n"/>
      <c r="E8" s="103" t="inlineStr">
        <is>
          <t>Esta esperando a que llegue el City</t>
        </is>
      </c>
      <c r="F8" s="104" t="n"/>
      <c r="G8" s="103" t="n"/>
      <c r="H8" s="103" t="n"/>
    </row>
    <row r="9" ht="22" customHeight="1">
      <c r="A9" s="103" t="inlineStr">
        <is>
          <t>Marcia</t>
        </is>
      </c>
      <c r="B9" s="103" t="n"/>
      <c r="C9" s="103" t="inlineStr">
        <is>
          <t>ZR-V</t>
        </is>
      </c>
      <c r="D9" s="103" t="n"/>
      <c r="E9" s="103" t="inlineStr">
        <is>
          <t>Llamar 15 Marzo</t>
        </is>
      </c>
      <c r="F9" s="104" t="n"/>
      <c r="G9" s="103" t="n"/>
      <c r="H9" s="103" t="n"/>
    </row>
    <row r="10" ht="22" customHeight="1">
      <c r="A10" s="103" t="inlineStr">
        <is>
          <t>Jael</t>
        </is>
      </c>
      <c r="B10" s="103" t="inlineStr">
        <is>
          <t>56974452298</t>
        </is>
      </c>
      <c r="C10" s="103" t="inlineStr">
        <is>
          <t>WR-V</t>
        </is>
      </c>
      <c r="D10" s="103" t="n"/>
      <c r="E10" s="103" t="inlineStr">
        <is>
          <t>Mensaje 15 Marzo para test drive</t>
        </is>
      </c>
      <c r="F10" s="104" t="n"/>
      <c r="G10" s="103" t="n"/>
      <c r="H10" s="103" t="n"/>
    </row>
    <row r="11" ht="22" customHeight="1">
      <c r="A11" s="103" t="inlineStr">
        <is>
          <t>Danilo</t>
        </is>
      </c>
      <c r="B11" s="103" t="n"/>
      <c r="C11" s="103" t="inlineStr">
        <is>
          <t>WR-V</t>
        </is>
      </c>
      <c r="D11" s="103" t="inlineStr">
        <is>
          <t>EX</t>
        </is>
      </c>
      <c r="E11" s="103" t="n"/>
      <c r="F11" s="104" t="n"/>
      <c r="G11" s="103" t="n"/>
      <c r="H11" s="103" t="n"/>
    </row>
    <row r="12" ht="22" customHeight="1">
      <c r="A12" s="103" t="inlineStr">
        <is>
          <t>Juan Carlos</t>
        </is>
      </c>
      <c r="B12" s="103" t="n"/>
      <c r="C12" s="103" t="inlineStr">
        <is>
          <t>WR-V</t>
        </is>
      </c>
      <c r="D12" s="103" t="inlineStr">
        <is>
          <t>EXL</t>
        </is>
      </c>
      <c r="E12" s="103" t="inlineStr">
        <is>
          <t>Escribir el Lunes a ver que decisión tomó</t>
        </is>
      </c>
      <c r="F12" s="104" t="n"/>
      <c r="G12" s="103" t="n"/>
      <c r="H12" s="103" t="n"/>
    </row>
    <row r="13" ht="22" customHeight="1">
      <c r="A13" s="103" t="n"/>
      <c r="B13" s="103" t="n"/>
      <c r="C13" s="103" t="n"/>
      <c r="D13" s="103" t="n"/>
      <c r="E13" s="103" t="n"/>
      <c r="F13" s="104" t="n"/>
      <c r="G13" s="103" t="n"/>
      <c r="H13" s="103" t="n"/>
    </row>
    <row r="14" ht="22" customHeight="1">
      <c r="A14" s="103" t="n"/>
      <c r="B14" s="103" t="n"/>
      <c r="C14" s="103" t="n"/>
      <c r="D14" s="103" t="n"/>
      <c r="E14" s="103" t="n"/>
      <c r="F14" s="104" t="n"/>
      <c r="G14" s="103" t="n"/>
      <c r="H14" s="103" t="n"/>
    </row>
    <row r="15" ht="22" customHeight="1">
      <c r="A15" s="103" t="n"/>
      <c r="B15" s="103" t="n"/>
      <c r="C15" s="103" t="n"/>
      <c r="D15" s="103" t="n"/>
      <c r="E15" s="103" t="n"/>
      <c r="F15" s="104" t="n"/>
      <c r="G15" s="103" t="n"/>
      <c r="H15" s="103" t="n"/>
    </row>
    <row r="16" ht="22" customHeight="1">
      <c r="A16" s="103" t="n"/>
      <c r="B16" s="103" t="n"/>
      <c r="C16" s="103" t="n"/>
      <c r="D16" s="103" t="n"/>
      <c r="E16" s="103" t="n"/>
      <c r="F16" s="104" t="n"/>
      <c r="G16" s="103" t="n"/>
      <c r="H16" s="103" t="n"/>
    </row>
    <row r="17" ht="22" customHeight="1">
      <c r="A17" s="103" t="n"/>
      <c r="B17" s="103" t="n"/>
      <c r="C17" s="103" t="n"/>
      <c r="D17" s="103" t="n"/>
      <c r="E17" s="103" t="n"/>
      <c r="F17" s="104" t="n"/>
      <c r="G17" s="103" t="n"/>
      <c r="H17" s="103" t="n"/>
    </row>
    <row r="18" ht="22" customHeight="1">
      <c r="A18" s="103" t="n"/>
      <c r="B18" s="103" t="n"/>
      <c r="C18" s="103" t="n"/>
      <c r="D18" s="103" t="n"/>
      <c r="E18" s="103" t="n"/>
      <c r="F18" s="104" t="n"/>
      <c r="G18" s="103" t="n"/>
      <c r="H18" s="103" t="n"/>
    </row>
    <row r="19" ht="22" customHeight="1">
      <c r="A19" s="103" t="n"/>
      <c r="B19" s="103" t="n"/>
      <c r="C19" s="103" t="n"/>
      <c r="D19" s="103" t="n"/>
      <c r="E19" s="103" t="n"/>
      <c r="F19" s="104" t="n"/>
      <c r="G19" s="103" t="n"/>
      <c r="H19" s="103" t="n"/>
    </row>
    <row r="20" ht="22" customHeight="1">
      <c r="A20" s="103" t="n"/>
      <c r="B20" s="103" t="n"/>
      <c r="C20" s="103" t="n"/>
      <c r="D20" s="103" t="n"/>
      <c r="E20" s="103" t="n"/>
      <c r="F20" s="104" t="n"/>
      <c r="G20" s="103" t="n"/>
      <c r="H20" s="103" t="n"/>
    </row>
    <row r="21" ht="22" customHeight="1">
      <c r="A21" s="103" t="n"/>
      <c r="B21" s="103" t="n"/>
      <c r="C21" s="103" t="n"/>
      <c r="D21" s="103" t="n"/>
      <c r="E21" s="103" t="n"/>
      <c r="F21" s="104" t="n"/>
      <c r="G21" s="103" t="n"/>
      <c r="H21" s="103" t="n"/>
    </row>
    <row r="22" ht="22" customHeight="1">
      <c r="A22" s="103" t="n"/>
      <c r="B22" s="103" t="n"/>
      <c r="C22" s="103" t="n"/>
      <c r="D22" s="103" t="n"/>
      <c r="E22" s="103" t="n"/>
      <c r="F22" s="104" t="n"/>
      <c r="G22" s="103" t="n"/>
      <c r="H22" s="103" t="n"/>
    </row>
    <row r="23" ht="22" customHeight="1">
      <c r="A23" s="103" t="n"/>
      <c r="B23" s="103" t="n"/>
      <c r="C23" s="103" t="n"/>
      <c r="D23" s="103" t="n"/>
      <c r="E23" s="103" t="n"/>
      <c r="F23" s="104" t="n"/>
      <c r="G23" s="103" t="n"/>
      <c r="H23" s="103" t="n"/>
    </row>
    <row r="24" ht="22" customHeight="1">
      <c r="A24" s="103" t="n"/>
      <c r="B24" s="103" t="n"/>
      <c r="C24" s="103" t="n"/>
      <c r="D24" s="103" t="n"/>
      <c r="E24" s="103" t="n"/>
      <c r="F24" s="104" t="n"/>
      <c r="G24" s="103" t="n"/>
      <c r="H24" s="103" t="n"/>
    </row>
    <row r="25" ht="22" customHeight="1">
      <c r="A25" s="103" t="n"/>
      <c r="B25" s="103" t="n"/>
      <c r="C25" s="103" t="n"/>
      <c r="D25" s="103" t="n"/>
      <c r="E25" s="103" t="n"/>
      <c r="F25" s="104" t="n"/>
      <c r="G25" s="103" t="n"/>
      <c r="H25" s="103" t="n"/>
    </row>
    <row r="26" ht="22" customHeight="1">
      <c r="A26" s="103" t="n"/>
      <c r="B26" s="103" t="n"/>
      <c r="C26" s="103" t="n"/>
      <c r="D26" s="103" t="n"/>
      <c r="E26" s="103" t="n"/>
      <c r="F26" s="104" t="n"/>
      <c r="G26" s="103" t="n"/>
      <c r="H26" s="103" t="n"/>
    </row>
    <row r="27" ht="22" customHeight="1">
      <c r="A27" s="103" t="n"/>
      <c r="B27" s="103" t="n"/>
      <c r="C27" s="103" t="n"/>
      <c r="D27" s="103" t="n"/>
      <c r="E27" s="103" t="n"/>
      <c r="F27" s="104" t="n"/>
      <c r="G27" s="103" t="n"/>
      <c r="H27" s="103" t="n"/>
    </row>
    <row r="28" ht="22" customHeight="1">
      <c r="A28" s="103" t="n"/>
      <c r="B28" s="103" t="n"/>
      <c r="C28" s="103" t="n"/>
      <c r="D28" s="103" t="n"/>
      <c r="E28" s="103" t="n"/>
      <c r="F28" s="104" t="n"/>
      <c r="G28" s="103" t="n"/>
      <c r="H28" s="103" t="n"/>
    </row>
    <row r="29" ht="22" customHeight="1">
      <c r="A29" s="103" t="n"/>
      <c r="B29" s="103" t="n"/>
      <c r="C29" s="103" t="n"/>
      <c r="D29" s="103" t="n"/>
      <c r="E29" s="103" t="n"/>
      <c r="F29" s="104" t="n"/>
      <c r="G29" s="103" t="n"/>
      <c r="H29" s="103" t="n"/>
    </row>
    <row r="30" ht="22" customHeight="1">
      <c r="A30" s="103" t="n"/>
      <c r="B30" s="103" t="n"/>
      <c r="C30" s="103" t="n"/>
      <c r="D30" s="103" t="n"/>
      <c r="E30" s="103" t="n"/>
      <c r="F30" s="104" t="n"/>
      <c r="G30" s="103" t="n"/>
      <c r="H30" s="103" t="n"/>
    </row>
    <row r="31" ht="22" customHeight="1">
      <c r="A31" s="103" t="n"/>
      <c r="B31" s="103" t="n"/>
      <c r="C31" s="103" t="n"/>
      <c r="D31" s="103" t="n"/>
      <c r="E31" s="103" t="n"/>
      <c r="F31" s="104" t="n"/>
      <c r="G31" s="103" t="n"/>
      <c r="H31" s="103" t="n"/>
    </row>
    <row r="32" ht="22" customHeight="1">
      <c r="A32" s="103" t="n"/>
      <c r="B32" s="103" t="n"/>
      <c r="C32" s="103" t="n"/>
      <c r="D32" s="103" t="n"/>
      <c r="E32" s="103" t="n"/>
      <c r="F32" s="104" t="n"/>
      <c r="G32" s="103" t="n"/>
      <c r="H32" s="103" t="n"/>
    </row>
    <row r="33" ht="22" customHeight="1">
      <c r="A33" s="103" t="n"/>
      <c r="B33" s="103" t="n"/>
      <c r="C33" s="103" t="n"/>
      <c r="D33" s="103" t="n"/>
      <c r="E33" s="103" t="n"/>
      <c r="F33" s="104" t="n"/>
      <c r="G33" s="103" t="n"/>
      <c r="H33" s="103" t="n"/>
    </row>
    <row r="34" ht="22" customHeight="1">
      <c r="A34" s="103" t="n"/>
      <c r="B34" s="103" t="n"/>
      <c r="C34" s="103" t="n"/>
      <c r="D34" s="103" t="n"/>
      <c r="E34" s="103" t="n"/>
      <c r="F34" s="104" t="n"/>
      <c r="G34" s="103" t="n"/>
      <c r="H34" s="103" t="n"/>
    </row>
  </sheetData>
  <sheetProtection selectLockedCells="1" selectUnlockedCells="1" sheet="1" objects="0" insertRows="0" insertHyperlinks="1" autoFilter="1" scenarios="0" formatColumns="1" deleteColumns="0" insertColumns="0" pivotTables="0" deleteRows="0" formatCells="0" formatRows="1" sort="1"/>
  <mergeCells count="2">
    <mergeCell ref="A2:H2"/>
    <mergeCell ref="A1:H1"/>
  </mergeCells>
  <conditionalFormatting sqref="A5:H34">
    <cfRule type="expression" priority="1" dxfId="7" stopIfTrue="1">
      <formula>AND($A5="",$A4&lt;&gt;"")</formula>
    </cfRule>
    <cfRule type="expression" priority="2" dxfId="8" stopIfTrue="0">
      <formula>$A5&lt;&gt;""</formula>
    </cfRule>
  </conditionalFormatting>
  <conditionalFormatting sqref="G5:G34">
    <cfRule type="expression" priority="3" dxfId="6" stopIfTrue="1">
      <formula>$G5="Sí"</formula>
    </cfRule>
  </conditionalFormatting>
  <dataValidations count="3">
    <dataValidation sqref="C5:C34" showDropDown="0" showInputMessage="1" showErrorMessage="1" allowBlank="1" errorTitle="Lista" error="Puedes elegir de la lista o escribir otro valor." promptTitle="Elige" prompt="Modelo de interés" type="list" errorStyle="warning">
      <formula1>=ListaVehiculos</formula1>
    </dataValidation>
    <dataValidation sqref="D5:D34" showDropDown="0" showInputMessage="1" showErrorMessage="1" allowBlank="1" errorTitle="Lista" error="Puedes elegir de la lista o escribir otro valor." promptTitle="Elige" prompt="Versión" type="list" errorStyle="warning">
      <formula1>=INDIRECT(SUBSTITUTE(SUBSTITUTE(C5,"-","_")," ",""))</formula1>
    </dataValidation>
    <dataValidation sqref="G5:G34" showDropDown="0" showInputMessage="1" showErrorMessage="1" allowBlank="1" errorTitle="Lista" error="Puedes elegir de la lista o escribir otro valor." promptTitle="Elige" prompt="Sí cuando ya está hecho" type="list" errorStyle="warning">
      <formula1>=ListaSiNo</formula1>
    </dataValidation>
  </dataValidations>
  <printOptions horizontalCentered="1"/>
  <pageMargins left="0.4" right="0.4" top="0.5" bottom="0.4" header="0.2" footer="0.2"/>
  <pageSetup orientation="landscape" paperSize="9" scale="100" fitToHeight="1" fitToWidth="1"/>
  <headerFooter>
    <oddHeader/>
    <oddFooter>&amp;LCartera Honda&amp;RPágina 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8A8F94"/>
    <outlinePr summaryBelow="1" summaryRight="1"/>
    <pageSetUpPr fitToPage="1"/>
  </sheetPr>
  <dimension ref="A1:H12"/>
  <sheetViews>
    <sheetView showGridLines="0" zoomScale="12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PARÁMETROS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Estos tres números mueven las alertas de Inicio y Renovaciones.</t>
        </is>
      </c>
      <c r="B2" s="2" t="n"/>
      <c r="C2" s="2" t="n"/>
      <c r="D2" s="2" t="n"/>
      <c r="E2" s="2" t="n"/>
      <c r="F2" s="2" t="n"/>
      <c r="G2" s="2" t="n"/>
      <c r="H2" s="2" t="n"/>
    </row>
    <row r="3" ht="6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24" customHeight="1">
      <c r="B5" s="105" t="inlineStr">
        <is>
          <t>Avisar cuando al crédito le queden estos meses o menos</t>
        </is>
      </c>
    </row>
    <row r="6" ht="42" customHeight="1">
      <c r="B6" s="106" t="n">
        <v>6</v>
      </c>
    </row>
    <row r="8" ht="24" customHeight="1">
      <c r="B8" s="105" t="inlineStr">
        <is>
          <t>Marcar Pronto cuando al crédito le queden estos meses o menos</t>
        </is>
      </c>
    </row>
    <row r="9" ht="42" customHeight="1">
      <c r="B9" s="106" t="n">
        <v>12</v>
      </c>
    </row>
    <row r="11" ht="24" customHeight="1">
      <c r="B11" s="105" t="inlineStr">
        <is>
          <t>Ofrecer renovación si compró al contado hace al menos estos meses</t>
        </is>
      </c>
    </row>
    <row r="12" ht="42" customHeight="1">
      <c r="B12" s="106" t="n">
        <v>30</v>
      </c>
    </row>
  </sheetData>
  <sheetProtection selectLockedCells="1" selectUnlockedCells="1" sheet="1" objects="0" insertRows="0" insertHyperlinks="1" autoFilter="0" scenarios="0" formatColumns="1" deleteColumns="0" insertColumns="0" pivotTables="0" deleteRows="0" formatCells="0" formatRows="1" sort="0"/>
  <mergeCells count="5">
    <mergeCell ref="A1:H1"/>
    <mergeCell ref="A2:H2"/>
    <mergeCell ref="B11:F11"/>
    <mergeCell ref="B5:F5"/>
    <mergeCell ref="B8:F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W69"/>
  <sheetViews>
    <sheetView showGridLines="0" view="normal" zoomScale="110" workbookViewId="0">
      <selection activeCell="A1" sqref="A1"/>
    </sheetView>
  </sheetViews>
  <sheetFormatPr baseColWidth="8" defaultRowHeight="15"/>
  <sheetData>
    <row r="1">
      <c r="A1" s="107" t="inlineStr">
        <is>
          <t>Vehiculos</t>
        </is>
      </c>
      <c r="C1" s="107" t="inlineStr">
        <is>
          <t>Forma</t>
        </is>
      </c>
      <c r="E1" s="107" t="inlineStr">
        <is>
          <t>Producto</t>
        </is>
      </c>
      <c r="G1" s="107" t="inlineStr">
        <is>
          <t>Plazo</t>
        </is>
      </c>
      <c r="I1" s="107" t="inlineStr">
        <is>
          <t>Color</t>
        </is>
      </c>
      <c r="K1" s="107" t="inlineStr">
        <is>
          <t>SiNo</t>
        </is>
      </c>
      <c r="M1" s="107" t="inlineStr">
        <is>
          <t>Interes</t>
        </is>
      </c>
      <c r="O1" s="108" t="inlineStr">
        <is>
          <t>City</t>
        </is>
      </c>
      <c r="P1" s="108" t="inlineStr">
        <is>
          <t>WR-V</t>
        </is>
      </c>
      <c r="Q1" s="108" t="inlineStr">
        <is>
          <t>HR-V</t>
        </is>
      </c>
      <c r="R1" s="108" t="inlineStr">
        <is>
          <t>ZR-V</t>
        </is>
      </c>
      <c r="S1" s="108" t="inlineStr">
        <is>
          <t>CR-V</t>
        </is>
      </c>
      <c r="T1" s="108" t="inlineStr">
        <is>
          <t>Civic</t>
        </is>
      </c>
      <c r="U1" s="108" t="inlineStr">
        <is>
          <t>Accord</t>
        </is>
      </c>
      <c r="V1" s="108" t="inlineStr">
        <is>
          <t>Pilot</t>
        </is>
      </c>
      <c r="W1" s="108" t="inlineStr">
        <is>
          <t>BR-V</t>
        </is>
      </c>
    </row>
    <row r="2">
      <c r="A2" t="inlineStr">
        <is>
          <t>City</t>
        </is>
      </c>
      <c r="C2" t="inlineStr">
        <is>
          <t>Contado</t>
        </is>
      </c>
      <c r="E2" t="inlineStr">
        <is>
          <t>Contado</t>
        </is>
      </c>
      <c r="G2" t="n">
        <v>12</v>
      </c>
      <c r="I2" t="inlineStr">
        <is>
          <t>Blanco</t>
        </is>
      </c>
      <c r="K2" t="inlineStr">
        <is>
          <t>Sí</t>
        </is>
      </c>
      <c r="M2" t="inlineStr">
        <is>
          <t>Alto</t>
        </is>
      </c>
      <c r="O2" t="inlineStr">
        <is>
          <t>LX</t>
        </is>
      </c>
      <c r="P2" t="inlineStr">
        <is>
          <t>LX</t>
        </is>
      </c>
      <c r="Q2" t="inlineStr">
        <is>
          <t>LX</t>
        </is>
      </c>
      <c r="R2" t="inlineStr">
        <is>
          <t>LX</t>
        </is>
      </c>
      <c r="S2" t="inlineStr">
        <is>
          <t>LX</t>
        </is>
      </c>
      <c r="T2" t="inlineStr">
        <is>
          <t>LX</t>
        </is>
      </c>
      <c r="U2" t="inlineStr">
        <is>
          <t>EX</t>
        </is>
      </c>
      <c r="V2" t="inlineStr">
        <is>
          <t>EX</t>
        </is>
      </c>
      <c r="W2" t="inlineStr">
        <is>
          <t>LX</t>
        </is>
      </c>
    </row>
    <row r="3">
      <c r="A3" t="inlineStr">
        <is>
          <t>WR-V</t>
        </is>
      </c>
      <c r="C3" t="inlineStr">
        <is>
          <t>Crédito</t>
        </is>
      </c>
      <c r="E3" t="inlineStr">
        <is>
          <t>Crédito convencional</t>
        </is>
      </c>
      <c r="G3" t="n">
        <v>24</v>
      </c>
      <c r="I3" t="inlineStr">
        <is>
          <t>Negro</t>
        </is>
      </c>
      <c r="K3" t="inlineStr">
        <is>
          <t>No</t>
        </is>
      </c>
      <c r="M3" t="inlineStr">
        <is>
          <t>Medio</t>
        </is>
      </c>
      <c r="O3" t="inlineStr">
        <is>
          <t>EX</t>
        </is>
      </c>
      <c r="P3" t="inlineStr">
        <is>
          <t>EX</t>
        </is>
      </c>
      <c r="Q3" t="inlineStr">
        <is>
          <t>EX</t>
        </is>
      </c>
      <c r="R3" t="inlineStr">
        <is>
          <t>EX</t>
        </is>
      </c>
      <c r="S3" t="inlineStr">
        <is>
          <t>EX</t>
        </is>
      </c>
      <c r="T3" t="inlineStr">
        <is>
          <t>EX</t>
        </is>
      </c>
      <c r="U3" t="inlineStr">
        <is>
          <t>EXL</t>
        </is>
      </c>
      <c r="V3" t="inlineStr">
        <is>
          <t>EXL</t>
        </is>
      </c>
      <c r="W3" t="inlineStr">
        <is>
          <t>EX</t>
        </is>
      </c>
    </row>
    <row r="4">
      <c r="A4" t="inlineStr">
        <is>
          <t>HR-V</t>
        </is>
      </c>
      <c r="E4" t="inlineStr">
        <is>
          <t>Compra Inteligente</t>
        </is>
      </c>
      <c r="G4" t="n">
        <v>36</v>
      </c>
      <c r="I4" t="inlineStr">
        <is>
          <t>Plata</t>
        </is>
      </c>
      <c r="M4" t="inlineStr">
        <is>
          <t>Bajo</t>
        </is>
      </c>
      <c r="O4" t="inlineStr">
        <is>
          <t>EXL</t>
        </is>
      </c>
      <c r="P4" t="inlineStr">
        <is>
          <t>EX SMART</t>
        </is>
      </c>
      <c r="Q4" t="inlineStr">
        <is>
          <t>EXL</t>
        </is>
      </c>
      <c r="R4" t="inlineStr">
        <is>
          <t>EXL</t>
        </is>
      </c>
      <c r="S4" t="inlineStr">
        <is>
          <t>EXL</t>
        </is>
      </c>
      <c r="T4" t="inlineStr">
        <is>
          <t>EXL</t>
        </is>
      </c>
      <c r="U4" t="inlineStr">
        <is>
          <t>Touring</t>
        </is>
      </c>
      <c r="V4" t="inlineStr">
        <is>
          <t>Touring</t>
        </is>
      </c>
      <c r="W4" t="inlineStr">
        <is>
          <t>EXL</t>
        </is>
      </c>
    </row>
    <row r="5">
      <c r="A5" t="inlineStr">
        <is>
          <t>ZR-V</t>
        </is>
      </c>
      <c r="E5" t="inlineStr">
        <is>
          <t>Compra Para</t>
        </is>
      </c>
      <c r="G5" t="n">
        <v>48</v>
      </c>
      <c r="I5" t="inlineStr">
        <is>
          <t>Grafito</t>
        </is>
      </c>
      <c r="M5" t="inlineStr">
        <is>
          <t>Sin contacto</t>
        </is>
      </c>
      <c r="O5" t="inlineStr">
        <is>
          <t>HB EX</t>
        </is>
      </c>
      <c r="P5" t="inlineStr">
        <is>
          <t>EXL</t>
        </is>
      </c>
      <c r="Q5" t="inlineStr">
        <is>
          <t>Touring</t>
        </is>
      </c>
      <c r="R5" t="inlineStr">
        <is>
          <t>Touring</t>
        </is>
      </c>
      <c r="S5" t="inlineStr">
        <is>
          <t>Touring</t>
        </is>
      </c>
      <c r="T5" t="inlineStr">
        <is>
          <t>Sport</t>
        </is>
      </c>
    </row>
    <row r="6">
      <c r="A6" t="inlineStr">
        <is>
          <t>CR-V</t>
        </is>
      </c>
      <c r="G6" t="n">
        <v>60</v>
      </c>
      <c r="I6" t="inlineStr">
        <is>
          <t>Gris</t>
        </is>
      </c>
      <c r="O6" t="inlineStr">
        <is>
          <t>HB EXL</t>
        </is>
      </c>
    </row>
    <row r="7">
      <c r="A7" t="inlineStr">
        <is>
          <t>Civic</t>
        </is>
      </c>
      <c r="I7" t="inlineStr">
        <is>
          <t>Rojo</t>
        </is>
      </c>
      <c r="O7" t="inlineStr">
        <is>
          <t>Sport</t>
        </is>
      </c>
    </row>
    <row r="8">
      <c r="A8" t="inlineStr">
        <is>
          <t>Accord</t>
        </is>
      </c>
      <c r="I8" t="inlineStr">
        <is>
          <t>Azul</t>
        </is>
      </c>
    </row>
    <row r="9">
      <c r="A9" t="inlineStr">
        <is>
          <t>Pilot</t>
        </is>
      </c>
      <c r="I9" t="inlineStr">
        <is>
          <t>Blanco Perla</t>
        </is>
      </c>
    </row>
    <row r="10">
      <c r="A10" t="inlineStr">
        <is>
          <t>BR-V</t>
        </is>
      </c>
      <c r="I10" t="inlineStr">
        <is>
          <t>Negro Cristal</t>
        </is>
      </c>
    </row>
    <row r="11">
      <c r="I11" t="inlineStr">
        <is>
          <t>Azul Cósmico</t>
        </is>
      </c>
    </row>
    <row r="12">
      <c r="I12" t="inlineStr">
        <is>
          <t>Rojo Rally</t>
        </is>
      </c>
    </row>
    <row r="13">
      <c r="I13" t="inlineStr">
        <is>
          <t>Café</t>
        </is>
      </c>
    </row>
    <row r="14">
      <c r="I14" t="inlineStr">
        <is>
          <t>Beige</t>
        </is>
      </c>
    </row>
    <row r="15">
      <c r="I15" t="inlineStr">
        <is>
          <t>Naranja</t>
        </is>
      </c>
    </row>
    <row r="20">
      <c r="A20" s="9">
        <f>IFERROR(INDEX(tblClientes[Nombre],MATCH(SMALL(tblClientes[Fila],1),tblClientes[Fila],0)),"")</f>
        <v/>
      </c>
      <c r="C20">
        <f>IF(Inicio!B6&lt;&gt;"",Inicio!B6,IF(Inicio!A21="",IFERROR(INDEX(tblClientes[Nombre],MATCH(SMALL(tblClientes[Fila],1),tblClientes[Fila],0)),""),Inicio!A21))</f>
        <v/>
      </c>
    </row>
    <row r="21">
      <c r="A21" s="9">
        <f>IFERROR(INDEX(tblClientes[Nombre],MATCH(SMALL(tblClientes[Fila],2),tblClientes[Fila],0)),"")</f>
        <v/>
      </c>
    </row>
    <row r="22">
      <c r="A22" s="9">
        <f>IFERROR(INDEX(tblClientes[Nombre],MATCH(SMALL(tblClientes[Fila],3),tblClientes[Fila],0)),"")</f>
        <v/>
      </c>
    </row>
    <row r="23">
      <c r="A23" s="9">
        <f>IFERROR(INDEX(tblClientes[Nombre],MATCH(SMALL(tblClientes[Fila],4),tblClientes[Fila],0)),"")</f>
        <v/>
      </c>
    </row>
    <row r="24">
      <c r="A24" s="9">
        <f>IFERROR(INDEX(tblClientes[Nombre],MATCH(SMALL(tblClientes[Fila],5),tblClientes[Fila],0)),"")</f>
        <v/>
      </c>
    </row>
    <row r="25">
      <c r="A25" s="9">
        <f>IFERROR(INDEX(tblClientes[Nombre],MATCH(SMALL(tblClientes[Fila],6),tblClientes[Fila],0)),"")</f>
        <v/>
      </c>
    </row>
    <row r="26">
      <c r="A26" s="9">
        <f>IFERROR(INDEX(tblClientes[Nombre],MATCH(SMALL(tblClientes[Fila],7),tblClientes[Fila],0)),"")</f>
        <v/>
      </c>
    </row>
    <row r="27">
      <c r="A27" s="9">
        <f>IFERROR(INDEX(tblClientes[Nombre],MATCH(SMALL(tblClientes[Fila],8),tblClientes[Fila],0)),"")</f>
        <v/>
      </c>
    </row>
    <row r="28">
      <c r="A28" s="9">
        <f>IFERROR(INDEX(tblClientes[Nombre],MATCH(SMALL(tblClientes[Fila],9),tblClientes[Fila],0)),"")</f>
        <v/>
      </c>
    </row>
    <row r="29">
      <c r="A29" s="9">
        <f>IFERROR(INDEX(tblClientes[Nombre],MATCH(SMALL(tblClientes[Fila],10),tblClientes[Fila],0)),"")</f>
        <v/>
      </c>
    </row>
    <row r="30">
      <c r="A30" s="9">
        <f>IFERROR(INDEX(tblClientes[Nombre],MATCH(SMALL(tblClientes[Fila],11),tblClientes[Fila],0)),"")</f>
        <v/>
      </c>
    </row>
    <row r="31">
      <c r="A31" s="9">
        <f>IFERROR(INDEX(tblClientes[Nombre],MATCH(SMALL(tblClientes[Fila],12),tblClientes[Fila],0)),"")</f>
        <v/>
      </c>
    </row>
    <row r="32">
      <c r="A32" s="9">
        <f>IFERROR(INDEX(tblClientes[Nombre],MATCH(SMALL(tblClientes[Fila],13),tblClientes[Fila],0)),"")</f>
        <v/>
      </c>
    </row>
    <row r="33">
      <c r="A33" s="9">
        <f>IFERROR(INDEX(tblClientes[Nombre],MATCH(SMALL(tblClientes[Fila],14),tblClientes[Fila],0)),"")</f>
        <v/>
      </c>
    </row>
    <row r="34">
      <c r="A34" s="9">
        <f>IFERROR(INDEX(tblClientes[Nombre],MATCH(SMALL(tblClientes[Fila],15),tblClientes[Fila],0)),"")</f>
        <v/>
      </c>
    </row>
    <row r="35">
      <c r="A35" s="9">
        <f>IFERROR(INDEX(tblClientes[Nombre],MATCH(SMALL(tblClientes[Fila],16),tblClientes[Fila],0)),"")</f>
        <v/>
      </c>
    </row>
    <row r="36">
      <c r="A36" s="9">
        <f>IFERROR(INDEX(tblClientes[Nombre],MATCH(SMALL(tblClientes[Fila],17),tblClientes[Fila],0)),"")</f>
        <v/>
      </c>
    </row>
    <row r="37">
      <c r="A37" s="9">
        <f>IFERROR(INDEX(tblClientes[Nombre],MATCH(SMALL(tblClientes[Fila],18),tblClientes[Fila],0)),"")</f>
        <v/>
      </c>
    </row>
    <row r="38">
      <c r="A38" s="9">
        <f>IFERROR(INDEX(tblClientes[Nombre],MATCH(SMALL(tblClientes[Fila],19),tblClientes[Fila],0)),"")</f>
        <v/>
      </c>
    </row>
    <row r="39">
      <c r="A39" s="9">
        <f>IFERROR(INDEX(tblClientes[Nombre],MATCH(SMALL(tblClientes[Fila],20),tblClientes[Fila],0)),"")</f>
        <v/>
      </c>
    </row>
    <row r="40">
      <c r="A40" s="9">
        <f>IFERROR(INDEX(tblClientes[Nombre],MATCH(SMALL(tblClientes[Fila],21),tblClientes[Fila],0)),"")</f>
        <v/>
      </c>
    </row>
    <row r="41">
      <c r="A41" s="9">
        <f>IFERROR(INDEX(tblClientes[Nombre],MATCH(SMALL(tblClientes[Fila],22),tblClientes[Fila],0)),"")</f>
        <v/>
      </c>
    </row>
    <row r="42">
      <c r="A42" s="9">
        <f>IFERROR(INDEX(tblClientes[Nombre],MATCH(SMALL(tblClientes[Fila],23),tblClientes[Fila],0)),"")</f>
        <v/>
      </c>
    </row>
    <row r="43">
      <c r="A43" s="9">
        <f>IFERROR(INDEX(tblClientes[Nombre],MATCH(SMALL(tblClientes[Fila],24),tblClientes[Fila],0)),"")</f>
        <v/>
      </c>
    </row>
    <row r="44">
      <c r="A44" s="9">
        <f>IFERROR(INDEX(tblClientes[Nombre],MATCH(SMALL(tblClientes[Fila],25),tblClientes[Fila],0)),"")</f>
        <v/>
      </c>
    </row>
    <row r="45">
      <c r="A45" s="9">
        <f>IFERROR(INDEX(tblClientes[Nombre],MATCH(SMALL(tblClientes[Fila],26),tblClientes[Fila],0)),"")</f>
        <v/>
      </c>
    </row>
    <row r="46">
      <c r="A46" s="9">
        <f>IFERROR(INDEX(tblClientes[Nombre],MATCH(SMALL(tblClientes[Fila],27),tblClientes[Fila],0)),"")</f>
        <v/>
      </c>
    </row>
    <row r="47">
      <c r="A47" s="9">
        <f>IFERROR(INDEX(tblClientes[Nombre],MATCH(SMALL(tblClientes[Fila],28),tblClientes[Fila],0)),"")</f>
        <v/>
      </c>
    </row>
    <row r="48">
      <c r="A48" s="9">
        <f>IFERROR(INDEX(tblClientes[Nombre],MATCH(SMALL(tblClientes[Fila],29),tblClientes[Fila],0)),"")</f>
        <v/>
      </c>
    </row>
    <row r="49">
      <c r="A49" s="9">
        <f>IFERROR(INDEX(tblClientes[Nombre],MATCH(SMALL(tblClientes[Fila],30),tblClientes[Fila],0)),"")</f>
        <v/>
      </c>
    </row>
    <row r="50">
      <c r="A50" s="9">
        <f>IFERROR(INDEX(tblClientes[Nombre],MATCH(SMALL(tblClientes[Fila],31),tblClientes[Fila],0)),"")</f>
        <v/>
      </c>
    </row>
    <row r="51">
      <c r="A51" s="9">
        <f>IFERROR(INDEX(tblClientes[Nombre],MATCH(SMALL(tblClientes[Fila],32),tblClientes[Fila],0)),"")</f>
        <v/>
      </c>
    </row>
    <row r="52">
      <c r="A52" s="9">
        <f>IFERROR(INDEX(tblClientes[Nombre],MATCH(SMALL(tblClientes[Fila],33),tblClientes[Fila],0)),"")</f>
        <v/>
      </c>
    </row>
    <row r="53">
      <c r="A53" s="9">
        <f>IFERROR(INDEX(tblClientes[Nombre],MATCH(SMALL(tblClientes[Fila],34),tblClientes[Fila],0)),"")</f>
        <v/>
      </c>
    </row>
    <row r="54">
      <c r="A54" s="9">
        <f>IFERROR(INDEX(tblClientes[Nombre],MATCH(SMALL(tblClientes[Fila],35),tblClientes[Fila],0)),"")</f>
        <v/>
      </c>
    </row>
    <row r="55">
      <c r="A55" s="9">
        <f>IFERROR(INDEX(tblClientes[Nombre],MATCH(SMALL(tblClientes[Fila],36),tblClientes[Fila],0)),"")</f>
        <v/>
      </c>
    </row>
    <row r="56">
      <c r="A56" s="9">
        <f>IFERROR(INDEX(tblClientes[Nombre],MATCH(SMALL(tblClientes[Fila],37),tblClientes[Fila],0)),"")</f>
        <v/>
      </c>
    </row>
    <row r="57">
      <c r="A57" s="9">
        <f>IFERROR(INDEX(tblClientes[Nombre],MATCH(SMALL(tblClientes[Fila],38),tblClientes[Fila],0)),"")</f>
        <v/>
      </c>
    </row>
    <row r="58">
      <c r="A58" s="9">
        <f>IFERROR(INDEX(tblClientes[Nombre],MATCH(SMALL(tblClientes[Fila],39),tblClientes[Fila],0)),"")</f>
        <v/>
      </c>
    </row>
    <row r="59">
      <c r="A59" s="9">
        <f>IFERROR(INDEX(tblClientes[Nombre],MATCH(SMALL(tblClientes[Fila],40),tblClientes[Fila],0)),"")</f>
        <v/>
      </c>
    </row>
    <row r="60">
      <c r="A60" s="9">
        <f>IFERROR(INDEX(tblClientes[Nombre],MATCH(SMALL(tblClientes[Fila],41),tblClientes[Fila],0)),"")</f>
        <v/>
      </c>
    </row>
    <row r="61">
      <c r="A61" s="9">
        <f>IFERROR(INDEX(tblClientes[Nombre],MATCH(SMALL(tblClientes[Fila],42),tblClientes[Fila],0)),"")</f>
        <v/>
      </c>
    </row>
    <row r="62">
      <c r="A62" s="9">
        <f>IFERROR(INDEX(tblClientes[Nombre],MATCH(SMALL(tblClientes[Fila],43),tblClientes[Fila],0)),"")</f>
        <v/>
      </c>
    </row>
    <row r="63">
      <c r="A63" s="9">
        <f>IFERROR(INDEX(tblClientes[Nombre],MATCH(SMALL(tblClientes[Fila],44),tblClientes[Fila],0)),"")</f>
        <v/>
      </c>
    </row>
    <row r="64">
      <c r="A64" s="9">
        <f>IFERROR(INDEX(tblClientes[Nombre],MATCH(SMALL(tblClientes[Fila],45),tblClientes[Fila],0)),"")</f>
        <v/>
      </c>
    </row>
    <row r="65">
      <c r="A65" s="9">
        <f>IFERROR(INDEX(tblClientes[Nombre],MATCH(SMALL(tblClientes[Fila],46),tblClientes[Fila],0)),"")</f>
        <v/>
      </c>
    </row>
    <row r="66">
      <c r="A66" s="9">
        <f>IFERROR(INDEX(tblClientes[Nombre],MATCH(SMALL(tblClientes[Fila],47),tblClientes[Fila],0)),"")</f>
        <v/>
      </c>
    </row>
    <row r="67">
      <c r="A67" s="9">
        <f>IFERROR(INDEX(tblClientes[Nombre],MATCH(SMALL(tblClientes[Fila],48),tblClientes[Fila],0)),"")</f>
        <v/>
      </c>
    </row>
    <row r="68">
      <c r="A68" s="9">
        <f>IFERROR(INDEX(tblClientes[Nombre],MATCH(SMALL(tblClientes[Fila],49),tblClientes[Fila],0)),"")</f>
        <v/>
      </c>
    </row>
    <row r="69">
      <c r="A69" s="9">
        <f>IFERROR(INDEX(tblClientes[Nombre],MATCH(SMALL(tblClientes[Fila],50),tblClientes[Fila],0)),"")</f>
        <v/>
      </c>
    </row>
  </sheetData>
  <sheetProtection selectLockedCells="1" selectUnlockedCells="1" sheet="1" objects="0" insertRows="0" insertHyperlinks="1" autoFilter="0" scenarios="0" formatColumns="1" deleteColumns="0" insertColumns="0" pivotTables="0" deleteRows="0" formatCells="0" formatRows="1" sort="0"/>
  <printOptions horizontalCentered="1"/>
  <pageMargins left="0.4" right="0.4" top="0.5" bottom="0.4" header="0.2" footer="0.2"/>
  <pageSetup orientation="landscape" paperSize="9" scale="100" fitToHeight="1" fitToWidth="1"/>
  <headerFooter>
    <oddHeader/>
    <oddFooter>&amp;LCartera Honda&amp;RPágina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Cartera Honda</dc:title>
  <dc:subject xmlns:dc="http://purl.org/dc/elements/1.1/">Clientes, cuotas y renovaciones</dc:subject>
  <dcterms:created xmlns:dcterms="http://purl.org/dc/terms/" xmlns:xsi="http://www.w3.org/2001/XMLSchema-instance" xsi:type="dcterms:W3CDTF">2026-10-02T01:42:47Z</dcterms:created>
  <dcterms:modified xmlns:dcterms="http://purl.org/dc/terms/" xmlns:xsi="http://www.w3.org/2001/XMLSchema-instance" xsi:type="dcterms:W3CDTF">2026-10-02T01:42:47Z</dcterms:modified>
</cp:coreProperties>
</file>